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NĂM HỌC 2026-2027\DANH SÁCH CBGVNV TRƯỜNG TH NGUYỄN TRÃI SAU SÁP NHẬP\"/>
    </mc:Choice>
  </mc:AlternateContent>
  <bookViews>
    <workbookView xWindow="0" yWindow="0" windowWidth="20490" windowHeight="7170" firstSheet="2" activeTab="2"/>
  </bookViews>
  <sheets>
    <sheet name="Toàn trường" sheetId="1" r:id="rId1"/>
    <sheet name="DS SỐ ĐIỆN THOẠI" sheetId="8" r:id="rId2"/>
    <sheet name="CBGVNV biên chế " sheetId="7" r:id="rId3"/>
    <sheet name="hợp đồng GV,NV" sheetId="5" r:id="rId4"/>
    <sheet name="hợp đồng LCBV" sheetId="6" r:id="rId5"/>
    <sheet name="DANH SÁCH BAN TRUNG TÂM" sheetId="4" r:id="rId6"/>
    <sheet name="TỔNG HỢP SỐ LƯỢNG" sheetId="2" r:id="rId7"/>
  </sheets>
  <externalReferences>
    <externalReference r:id="rId8"/>
  </externalReferences>
  <definedNames>
    <definedName name="_xlnm._FilterDatabase" localSheetId="2" hidden="1">'CBGVNV biên chế '!$A$6:$X$95</definedName>
    <definedName name="_xlnm._FilterDatabase" localSheetId="1" hidden="1">'DS SỐ ĐIỆN THOẠI'!$A$6:$O$120</definedName>
    <definedName name="_xlnm._FilterDatabase" localSheetId="3" hidden="1">'hợp đồng GV,NV'!$A$6:$X$18</definedName>
    <definedName name="_xlnm._FilterDatabase" localSheetId="4" hidden="1">'hợp đồng LCBV'!$A$6:$X$19</definedName>
    <definedName name="_xlnm._FilterDatabase" localSheetId="0" hidden="1">'Toàn trường'!$A$6:$X$120</definedName>
    <definedName name="_xlnm.Print_Titles" localSheetId="2">'CBGVNV biên chế '!$6:$6</definedName>
    <definedName name="_xlnm.Print_Titles" localSheetId="5">'DANH SÁCH BAN TRUNG TÂM'!$5:$5</definedName>
    <definedName name="_xlnm.Print_Titles" localSheetId="1">'DS SỐ ĐIỆN THOẠI'!$6:$6</definedName>
    <definedName name="_xlnm.Print_Titles" localSheetId="3">'hợp đồng GV,NV'!$6:$6</definedName>
    <definedName name="_xlnm.Print_Titles" localSheetId="4">'hợp đồng LCBV'!$6:$6</definedName>
    <definedName name="_xlnm.Print_Titles" localSheetId="0">'Toàn trường'!$6:$6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 r="D9" i="2"/>
  <c r="B9" i="2"/>
  <c r="F85" i="1"/>
  <c r="F9" i="5"/>
  <c r="D69" i="8" l="1"/>
  <c r="C69" i="8"/>
  <c r="D68" i="8"/>
  <c r="C68" i="8"/>
  <c r="D67" i="8"/>
  <c r="C67" i="8"/>
  <c r="D66" i="8"/>
  <c r="C66" i="8"/>
  <c r="D57" i="8"/>
  <c r="C57" i="8"/>
  <c r="D55" i="8"/>
  <c r="C55" i="8"/>
  <c r="D46" i="8"/>
  <c r="C46" i="8"/>
  <c r="D45" i="8"/>
  <c r="C45" i="8"/>
  <c r="D44" i="8"/>
  <c r="C44" i="8"/>
  <c r="D34" i="8"/>
  <c r="C34" i="8"/>
  <c r="D33" i="8"/>
  <c r="C33" i="8"/>
  <c r="D32" i="8"/>
  <c r="C32" i="8"/>
  <c r="D31" i="8"/>
  <c r="C31" i="8"/>
  <c r="D21" i="8"/>
  <c r="C21" i="8"/>
  <c r="D20" i="8"/>
  <c r="C20" i="8"/>
  <c r="D19" i="8"/>
  <c r="C19" i="8"/>
  <c r="F104" i="7" l="1"/>
  <c r="F95" i="7"/>
  <c r="F94" i="7"/>
  <c r="F93" i="7"/>
  <c r="F92" i="7"/>
  <c r="F91" i="7"/>
  <c r="F90" i="7"/>
  <c r="F89" i="7"/>
  <c r="F88" i="7"/>
  <c r="F87" i="7"/>
  <c r="F86" i="7"/>
  <c r="F85" i="7"/>
  <c r="F84" i="7"/>
  <c r="F83" i="7"/>
  <c r="F82" i="7"/>
  <c r="F81" i="7"/>
  <c r="F80" i="7"/>
  <c r="F79" i="7"/>
  <c r="F78" i="7"/>
  <c r="F77" i="7"/>
  <c r="F76" i="7"/>
  <c r="F75" i="7"/>
  <c r="F74" i="7"/>
  <c r="F73" i="7"/>
  <c r="F72" i="7"/>
  <c r="F71" i="7"/>
  <c r="F70" i="7"/>
  <c r="G69" i="7"/>
  <c r="C69" i="7"/>
  <c r="F69" i="7" s="1"/>
  <c r="G68" i="7"/>
  <c r="C68" i="7"/>
  <c r="F68" i="7" s="1"/>
  <c r="G67" i="7"/>
  <c r="C67" i="7"/>
  <c r="F67" i="7" s="1"/>
  <c r="G66" i="7"/>
  <c r="C66" i="7"/>
  <c r="F66" i="7" s="1"/>
  <c r="F65" i="7"/>
  <c r="F64" i="7"/>
  <c r="F63" i="7"/>
  <c r="F62" i="7"/>
  <c r="F61" i="7"/>
  <c r="F60" i="7"/>
  <c r="F59" i="7"/>
  <c r="F58" i="7"/>
  <c r="G57" i="7"/>
  <c r="C57" i="7"/>
  <c r="F57" i="7" s="1"/>
  <c r="F56" i="7"/>
  <c r="G55" i="7"/>
  <c r="C55" i="7"/>
  <c r="F55" i="7" s="1"/>
  <c r="F54" i="7"/>
  <c r="F53" i="7"/>
  <c r="F52" i="7"/>
  <c r="F51" i="7"/>
  <c r="F50" i="7"/>
  <c r="F49" i="7"/>
  <c r="F48" i="7"/>
  <c r="F47" i="7"/>
  <c r="G46" i="7"/>
  <c r="F46" i="7"/>
  <c r="C46" i="7"/>
  <c r="G45" i="7"/>
  <c r="C45" i="7"/>
  <c r="F45" i="7" s="1"/>
  <c r="G44" i="7"/>
  <c r="C44" i="7"/>
  <c r="F44" i="7" s="1"/>
  <c r="F43" i="7"/>
  <c r="F42" i="7"/>
  <c r="F41" i="7"/>
  <c r="F40" i="7"/>
  <c r="F39" i="7"/>
  <c r="F38" i="7"/>
  <c r="F37" i="7"/>
  <c r="F36" i="7"/>
  <c r="F35" i="7"/>
  <c r="G34" i="7"/>
  <c r="C34" i="7"/>
  <c r="F34" i="7" s="1"/>
  <c r="G33" i="7"/>
  <c r="C33" i="7"/>
  <c r="F33" i="7" s="1"/>
  <c r="G32" i="7"/>
  <c r="F32" i="7"/>
  <c r="C32" i="7"/>
  <c r="G31" i="7"/>
  <c r="F31" i="7"/>
  <c r="C31" i="7"/>
  <c r="F30" i="7"/>
  <c r="F29" i="7"/>
  <c r="F28" i="7"/>
  <c r="F27" i="7"/>
  <c r="F26" i="7"/>
  <c r="F25" i="7"/>
  <c r="F24" i="7"/>
  <c r="F23" i="7"/>
  <c r="F22" i="7"/>
  <c r="G21" i="7"/>
  <c r="F21" i="7"/>
  <c r="C21" i="7"/>
  <c r="G20" i="7"/>
  <c r="C20" i="7"/>
  <c r="F20" i="7" s="1"/>
  <c r="G19" i="7"/>
  <c r="C19" i="7"/>
  <c r="F19" i="7" s="1"/>
  <c r="F18" i="7"/>
  <c r="F17" i="7"/>
  <c r="F16" i="7"/>
  <c r="F15" i="7"/>
  <c r="F14" i="7"/>
  <c r="F13" i="7"/>
  <c r="F12" i="7"/>
  <c r="F11" i="7"/>
  <c r="F9" i="7"/>
  <c r="F8" i="7"/>
  <c r="F7" i="7"/>
  <c r="F28" i="6"/>
  <c r="F16" i="6"/>
  <c r="F15" i="6"/>
  <c r="F14" i="6"/>
  <c r="F13" i="6"/>
  <c r="F12" i="6"/>
  <c r="F11" i="6"/>
  <c r="F10" i="6"/>
  <c r="F9" i="6"/>
  <c r="F8" i="6"/>
  <c r="F7" i="6"/>
  <c r="F25" i="5"/>
  <c r="F18" i="5"/>
  <c r="F17" i="5"/>
  <c r="F16" i="5"/>
  <c r="F15" i="5"/>
  <c r="F14" i="5"/>
  <c r="F13" i="5"/>
  <c r="F12" i="5"/>
  <c r="F11" i="5"/>
  <c r="F10" i="5"/>
  <c r="F8" i="5"/>
  <c r="F7" i="5"/>
  <c r="D16" i="2" l="1"/>
  <c r="B15" i="2"/>
  <c r="B16" i="2" s="1"/>
  <c r="H9" i="2"/>
  <c r="G9" i="2"/>
  <c r="F9" i="2"/>
  <c r="E9" i="2"/>
  <c r="C9" i="2"/>
  <c r="C20" i="4"/>
  <c r="C16" i="4"/>
  <c r="C14" i="4"/>
  <c r="C12" i="4"/>
  <c r="F129" i="1"/>
  <c r="I120" i="1"/>
  <c r="I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4" i="1"/>
  <c r="F83" i="1"/>
  <c r="F82" i="1"/>
  <c r="F81" i="1"/>
  <c r="F80" i="1"/>
  <c r="F79" i="1"/>
  <c r="F78" i="1"/>
  <c r="F77" i="1"/>
  <c r="F76" i="1"/>
  <c r="F75" i="1"/>
  <c r="F74" i="1"/>
  <c r="F73" i="1"/>
  <c r="F72" i="1"/>
  <c r="F71" i="1"/>
  <c r="F70" i="1"/>
  <c r="G69" i="1"/>
  <c r="C69" i="1"/>
  <c r="F69" i="1" s="1"/>
  <c r="G68" i="1"/>
  <c r="F68" i="1"/>
  <c r="C68" i="1"/>
  <c r="G67" i="1"/>
  <c r="C67" i="1"/>
  <c r="F67" i="1" s="1"/>
  <c r="G66" i="1"/>
  <c r="C66" i="1"/>
  <c r="F66" i="1" s="1"/>
  <c r="F65" i="1"/>
  <c r="F64" i="1"/>
  <c r="F63" i="1"/>
  <c r="F62" i="1"/>
  <c r="F61" i="1"/>
  <c r="F60" i="1"/>
  <c r="F59" i="1"/>
  <c r="F58" i="1"/>
  <c r="G57" i="1"/>
  <c r="C57" i="1"/>
  <c r="F57" i="1" s="1"/>
  <c r="F56" i="1"/>
  <c r="G55" i="1"/>
  <c r="C55" i="1"/>
  <c r="F55" i="1" s="1"/>
  <c r="F54" i="1"/>
  <c r="F53" i="1"/>
  <c r="F52" i="1"/>
  <c r="F51" i="1"/>
  <c r="F50" i="1"/>
  <c r="F49" i="1"/>
  <c r="F48" i="1"/>
  <c r="F47" i="1"/>
  <c r="G46" i="1"/>
  <c r="C46" i="1"/>
  <c r="F46" i="1" s="1"/>
  <c r="G45" i="1"/>
  <c r="C45" i="1"/>
  <c r="F45" i="1" s="1"/>
  <c r="G44" i="1"/>
  <c r="F44" i="1"/>
  <c r="C44" i="1"/>
  <c r="F43" i="1"/>
  <c r="F42" i="1"/>
  <c r="F41" i="1"/>
  <c r="F40" i="1"/>
  <c r="F39" i="1"/>
  <c r="F38" i="1"/>
  <c r="F37" i="1"/>
  <c r="F36" i="1"/>
  <c r="F35" i="1"/>
  <c r="G34" i="1"/>
  <c r="F34" i="1"/>
  <c r="C34" i="1"/>
  <c r="G33" i="1"/>
  <c r="C33" i="1"/>
  <c r="F33" i="1" s="1"/>
  <c r="G32" i="1"/>
  <c r="C32" i="1"/>
  <c r="F32" i="1" s="1"/>
  <c r="G31" i="1"/>
  <c r="C31" i="1"/>
  <c r="F31" i="1" s="1"/>
  <c r="F30" i="1"/>
  <c r="F29" i="1"/>
  <c r="F28" i="1"/>
  <c r="F27" i="1"/>
  <c r="F26" i="1"/>
  <c r="F25" i="1"/>
  <c r="F24" i="1"/>
  <c r="F23" i="1"/>
  <c r="F22" i="1"/>
  <c r="G21" i="1"/>
  <c r="C21" i="1"/>
  <c r="F21" i="1" s="1"/>
  <c r="G20" i="1"/>
  <c r="C20" i="1"/>
  <c r="F20" i="1" s="1"/>
  <c r="G19" i="1"/>
  <c r="C19" i="1"/>
  <c r="F19" i="1" s="1"/>
  <c r="F18" i="1"/>
  <c r="F17" i="1"/>
  <c r="F16" i="1"/>
  <c r="F15" i="1"/>
  <c r="F14" i="1"/>
  <c r="F13" i="1"/>
  <c r="F12" i="1"/>
  <c r="F11" i="1"/>
  <c r="F9" i="1"/>
  <c r="F8" i="1"/>
  <c r="F7" i="1"/>
</calcChain>
</file>

<file path=xl/sharedStrings.xml><?xml version="1.0" encoding="utf-8"?>
<sst xmlns="http://schemas.openxmlformats.org/spreadsheetml/2006/main" count="2203" uniqueCount="467">
  <si>
    <t>UBND PHƯỜNG HÀ ĐÔNG</t>
  </si>
  <si>
    <t>TRƯỜNG TIỂU HỌC NGUYỄN TRÃI</t>
  </si>
  <si>
    <t>DANH SÁCH CÁN BỘ - GIÁO VIÊN - NHÂN VIÊN TRƯỜNG TIỂU HỌC NGUYỄN TRÃI</t>
  </si>
  <si>
    <t>NĂM HỌC 2026-2027</t>
  </si>
  <si>
    <t>TT</t>
  </si>
  <si>
    <t>Họ tên</t>
  </si>
  <si>
    <t>Năm sinh</t>
  </si>
  <si>
    <t>Giới tính</t>
  </si>
  <si>
    <t>Biên chế, HĐ</t>
  </si>
  <si>
    <t>Tuổi</t>
  </si>
  <si>
    <t>Số điện thoại</t>
  </si>
  <si>
    <t>Năm vào ngành</t>
  </si>
  <si>
    <t>Đảng viên</t>
  </si>
  <si>
    <t>LLCT</t>
  </si>
  <si>
    <t>Trình độ</t>
  </si>
  <si>
    <t>Chức vụ</t>
  </si>
  <si>
    <t>Nhiệm vụ được giao</t>
  </si>
  <si>
    <t>Công tác kiêm nhiệm</t>
  </si>
  <si>
    <t>Ghi chú</t>
  </si>
  <si>
    <t>Nguyễn Thanh Vân</t>
  </si>
  <si>
    <t>Nữ</t>
  </si>
  <si>
    <t>Biên chế</t>
  </si>
  <si>
    <t>0977916286</t>
  </si>
  <si>
    <t>TC</t>
  </si>
  <si>
    <t>Thạc sĩ</t>
  </si>
  <si>
    <t>Bí thư Đảng bộ - Hiệu trưởng</t>
  </si>
  <si>
    <t xml:space="preserve">Phụ trách chung công tác của nhà trường.  </t>
  </si>
  <si>
    <t>Trần Thị Quyên</t>
  </si>
  <si>
    <t>0984323377</t>
  </si>
  <si>
    <t>Phó Bí thư Đảng bộ - Chủ nhiệm UBKT-Phó Hiệu trưởng</t>
  </si>
  <si>
    <t>Phụ trách phân hiệu trường. Phụ trách PCGD,Kiểm định CL, PCGD, Thư viện-Thiết bị, Công tác công khai theo quy định trong các lĩnh vực được phân công</t>
  </si>
  <si>
    <t>Nguyễn Thị Hương</t>
  </si>
  <si>
    <t>0906661993</t>
  </si>
  <si>
    <t>Đảng ủy viên- Phó Chủ nhiệm UBKT-Phó Hiệu trưởng</t>
  </si>
  <si>
    <t>Phụ trách trường chính. Hồ sơ CSVC, Bán trú, UDCNTT và CĐS, Phong trào Đoàn-Đội, Y tế. ATTH, KT Nội bộ, Cổng thông tin điện tử của nhà trường, Công khai theo quy định các lĩnh vực được phân công phụ trách.</t>
  </si>
  <si>
    <t>Nguyễn Thị Tân</t>
  </si>
  <si>
    <t>0983738989</t>
  </si>
  <si>
    <t>Đại học</t>
  </si>
  <si>
    <t>Giáo viên, Trưởng ban TTND</t>
  </si>
  <si>
    <t>GVCN lớp 1A1</t>
  </si>
  <si>
    <t>Tổ trưởng CM khối 1</t>
  </si>
  <si>
    <t>Nguyễn Thị Huyền</t>
  </si>
  <si>
    <t>0343987703</t>
  </si>
  <si>
    <t>Giáo viên</t>
  </si>
  <si>
    <t>GVCN lớp 1A2</t>
  </si>
  <si>
    <t>Nguyễn Thị Loan</t>
  </si>
  <si>
    <t>0984829918</t>
  </si>
  <si>
    <t>GVCN lớp 1A3</t>
  </si>
  <si>
    <t>Nguyễn Thị Ngọc Liên</t>
  </si>
  <si>
    <t>0965375957</t>
  </si>
  <si>
    <t>GVCN lớp 1A4</t>
  </si>
  <si>
    <t>Đinh Thị Trâm</t>
  </si>
  <si>
    <t>07/03/1994</t>
  </si>
  <si>
    <t>0962638427</t>
  </si>
  <si>
    <t>GVCN lớp 1A5</t>
  </si>
  <si>
    <t>s</t>
  </si>
  <si>
    <t>Dương Thị Hằng</t>
  </si>
  <si>
    <t>0965113936</t>
  </si>
  <si>
    <t>GVCN lớp 1A6</t>
  </si>
  <si>
    <t>Nguyễn Thị Kim Tuyến</t>
  </si>
  <si>
    <t>0962281686</t>
  </si>
  <si>
    <t>GVCN lớp 1A7</t>
  </si>
  <si>
    <t>Vũ Thị Thu Hương</t>
  </si>
  <si>
    <t>0986241394</t>
  </si>
  <si>
    <t>GVCN lớp 1A8</t>
  </si>
  <si>
    <t>Lê Ngọc Linh</t>
  </si>
  <si>
    <t>GVCN lớp 1A9</t>
  </si>
  <si>
    <t>Bùi Thị Luận</t>
  </si>
  <si>
    <t>GVCN lớp 1A10</t>
  </si>
  <si>
    <t>Lương Thị Thanh Trà</t>
  </si>
  <si>
    <t>GVCN lớp 1A11</t>
  </si>
  <si>
    <t>Tổ phó CM khối 1</t>
  </si>
  <si>
    <t>Nguyễn Thị Thu Thủy</t>
  </si>
  <si>
    <t>0904185555</t>
  </si>
  <si>
    <t>GVCN lớp 2A1</t>
  </si>
  <si>
    <t>Hoàng Thị Kim Dung</t>
  </si>
  <si>
    <t>0353672620</t>
  </si>
  <si>
    <t>GVCN lớp 2A2</t>
  </si>
  <si>
    <t>Đỗ Thị Thu Thủy</t>
  </si>
  <si>
    <t>0392927956</t>
  </si>
  <si>
    <t>GVCN lớp 2A3</t>
  </si>
  <si>
    <t>Tổ trưởng CM Khối 2</t>
  </si>
  <si>
    <t>Nguyễn Thị Quyên</t>
  </si>
  <si>
    <t>0971168356</t>
  </si>
  <si>
    <t>GVCN lớp 2A4</t>
  </si>
  <si>
    <t>Nguyễn Thị Sen</t>
  </si>
  <si>
    <t>0984746262</t>
  </si>
  <si>
    <t>GVCN lớp 2A5</t>
  </si>
  <si>
    <t>Nguyễn Phương Anh</t>
  </si>
  <si>
    <t>0962253653</t>
  </si>
  <si>
    <t>GVCN lớp 2A6</t>
  </si>
  <si>
    <t>Trần Thị Thùy Linh</t>
  </si>
  <si>
    <t>0393540541</t>
  </si>
  <si>
    <t>GVCN lớp 2A7</t>
  </si>
  <si>
    <t>Nguyễn Thị Ngọc Huyền</t>
  </si>
  <si>
    <t>0388980802</t>
  </si>
  <si>
    <t>GVCN lớp 2A8</t>
  </si>
  <si>
    <t>Hoàng Minh Chiên</t>
  </si>
  <si>
    <t>0904744955</t>
  </si>
  <si>
    <t>GVCN lớp 2A9</t>
  </si>
  <si>
    <t>Nguyễn Hương Thảo</t>
  </si>
  <si>
    <t>GVCN lớp 2A10</t>
  </si>
  <si>
    <t>Tổ phó CM khối 2</t>
  </si>
  <si>
    <t>Nguyễn Thanh Nhàn</t>
  </si>
  <si>
    <t>GVCN lớp 2A11</t>
  </si>
  <si>
    <t>Nguyễn Thị Hiên</t>
  </si>
  <si>
    <t>GVCN lớp 2A12</t>
  </si>
  <si>
    <t>Phạm Thị Ngọc Ánh</t>
  </si>
  <si>
    <t>GVCN lớp 2A13</t>
  </si>
  <si>
    <t>Trịnh Thị Kha</t>
  </si>
  <si>
    <t>0987164968</t>
  </si>
  <si>
    <t>GVCN lớp 3A1</t>
  </si>
  <si>
    <t>Nguyễn Thị Hà My</t>
  </si>
  <si>
    <t>24/06/1997</t>
  </si>
  <si>
    <t>0967197995</t>
  </si>
  <si>
    <t>GVCN lớp 3A2</t>
  </si>
  <si>
    <t>Nguyễn Thị Minh Trang</t>
  </si>
  <si>
    <t>0354999795</t>
  </si>
  <si>
    <t>GVCN lớp 3A3</t>
  </si>
  <si>
    <t>Nguyễn Thị Thu</t>
  </si>
  <si>
    <t>0943886088</t>
  </si>
  <si>
    <t>GVCN lớp 3A4</t>
  </si>
  <si>
    <t>Nguyễn Quỳnh Nhung</t>
  </si>
  <si>
    <t>23/09/1989</t>
  </si>
  <si>
    <t>0989803928</t>
  </si>
  <si>
    <t>GVCN lớp 3A5</t>
  </si>
  <si>
    <t>Nguyễn Kim Hoa</t>
  </si>
  <si>
    <t>0906050271</t>
  </si>
  <si>
    <t>GVCN lớp 3A6</t>
  </si>
  <si>
    <t>Nguyễn Diệu Linh</t>
  </si>
  <si>
    <t>0979718486</t>
  </si>
  <si>
    <t>Giáo viên - Phó BT Chi bộ 1 Nguyễn Trãi</t>
  </si>
  <si>
    <t>GVCN lớp 3A7</t>
  </si>
  <si>
    <t>Tổ trưởng CM khối 3. Thư ký ghi Biên bản Họp Đảng bộ</t>
  </si>
  <si>
    <t>Nguyễn Thanh Huyền</t>
  </si>
  <si>
    <t>0976715906</t>
  </si>
  <si>
    <t>GVCN lớp 3A8</t>
  </si>
  <si>
    <t>Nguyễn Thị Thu Thơm</t>
  </si>
  <si>
    <t>0917833886</t>
  </si>
  <si>
    <t>UVBCH Đảng bộ, Bí thư Chi bộ 1 Nguyễn Trãi, Giáo viên</t>
  </si>
  <si>
    <t>GVCN lớp 3A9</t>
  </si>
  <si>
    <t>Đỗ Thị Mai Anh</t>
  </si>
  <si>
    <t>GVCN lớp 3A10</t>
  </si>
  <si>
    <t>Nguyễn Thị Dung</t>
  </si>
  <si>
    <t>GVCN lớp 3A11</t>
  </si>
  <si>
    <t>Doãn Thị Thanh Xuân</t>
  </si>
  <si>
    <t>Đảng ủy viên Đảng bộ, Bí thư Chi bộ 3 Nguyễn Trãi- Giáo viên</t>
  </si>
  <si>
    <t>GVCN lớp 3A12</t>
  </si>
  <si>
    <t>Tổ phó CM khối 3. Thư ký ghi biên bản họp BCH Đảng bộ</t>
  </si>
  <si>
    <t>Nguyễn Thị Thúy</t>
  </si>
  <si>
    <t>0396913472</t>
  </si>
  <si>
    <t>GVCN lớp 4A1</t>
  </si>
  <si>
    <t>Nguyễn Thị Yến</t>
  </si>
  <si>
    <t>0976741959</t>
  </si>
  <si>
    <t>GVCN lớp 4A2</t>
  </si>
  <si>
    <t>Nguyễn Thị Linh Chi</t>
  </si>
  <si>
    <t>24/12/1995</t>
  </si>
  <si>
    <t>0979975159</t>
  </si>
  <si>
    <t>GVCN lớp 4A3</t>
  </si>
  <si>
    <t>Mai Thùy Linh</t>
  </si>
  <si>
    <t>02/10/1995</t>
  </si>
  <si>
    <t>0963991595</t>
  </si>
  <si>
    <t>GVCN lớp 4A4</t>
  </si>
  <si>
    <t>Vũ Hải Ly</t>
  </si>
  <si>
    <t>0981436911</t>
  </si>
  <si>
    <t>GVCN lớp 4A5</t>
  </si>
  <si>
    <t>Đào Thị Lan</t>
  </si>
  <si>
    <t>0976858592</t>
  </si>
  <si>
    <t>GVCN lớp 4A6</t>
  </si>
  <si>
    <t>Hoàng Thị Thương Huyền</t>
  </si>
  <si>
    <t>0398045922</t>
  </si>
  <si>
    <t>GVCN lớp 4A7</t>
  </si>
  <si>
    <t>Lê Thị Hồng Thắm</t>
  </si>
  <si>
    <t>0982522712</t>
  </si>
  <si>
    <t>Bí thư Chi bộ 2  Nguyễn Trãi, Giáo viên</t>
  </si>
  <si>
    <t>GVCN lớp 4A8</t>
  </si>
  <si>
    <t>Tổ trưởng CM khối 4</t>
  </si>
  <si>
    <t>Đỗ Thị Hồng Nhung</t>
  </si>
  <si>
    <t>GVCN lớp 4A9</t>
  </si>
  <si>
    <t>Nguyễn Thuỳ Trang</t>
  </si>
  <si>
    <t>19/10/1997</t>
  </si>
  <si>
    <t>0868928697</t>
  </si>
  <si>
    <t>GVCN lớp 4A10</t>
  </si>
  <si>
    <t>Phạm Ngọc Hiệp</t>
  </si>
  <si>
    <t>GVCN lớp 4A11</t>
  </si>
  <si>
    <t>Đỗ Thị Bích Thuỷ</t>
  </si>
  <si>
    <t>07/06/1972</t>
  </si>
  <si>
    <t>0902299122</t>
  </si>
  <si>
    <t>GVCN lớp 4A12</t>
  </si>
  <si>
    <t>Tổ phó CM khối 4</t>
  </si>
  <si>
    <t>Kiều Thúy Hiền</t>
  </si>
  <si>
    <t>04/08/1974</t>
  </si>
  <si>
    <t>0979518057</t>
  </si>
  <si>
    <t>GVCN lớp 5A1</t>
  </si>
  <si>
    <t>Đỗ Thị Sớm</t>
  </si>
  <si>
    <t>0972270616</t>
  </si>
  <si>
    <t>Phó Bí thư Chi bộ 2 Nguyễn Trãi, Giáo viên</t>
  </si>
  <si>
    <t>GVCN lớp 5A2</t>
  </si>
  <si>
    <t>Tổ trưởng CM khối 5</t>
  </si>
  <si>
    <t>Nguyễn Thị Thu Hà</t>
  </si>
  <si>
    <t>0987821836</t>
  </si>
  <si>
    <t>GVCN lớp 5A3</t>
  </si>
  <si>
    <t>Thư ký Hội đồng trường</t>
  </si>
  <si>
    <t>Đào Thị Khánh Vân</t>
  </si>
  <si>
    <t>0904673658</t>
  </si>
  <si>
    <t>GVCN lớp 5A4</t>
  </si>
  <si>
    <t>Trần Thị Hạnh</t>
  </si>
  <si>
    <t>0978349676</t>
  </si>
  <si>
    <t>GVCN lớp 5A5</t>
  </si>
  <si>
    <t>Đặng Thúy Nguyệt</t>
  </si>
  <si>
    <t>0934561883</t>
  </si>
  <si>
    <t>GVCN lớp 5A6</t>
  </si>
  <si>
    <t>Nguyễn Thị Việt Hà</t>
  </si>
  <si>
    <t>12/12/1976</t>
  </si>
  <si>
    <t>0399673973</t>
  </si>
  <si>
    <t>GVCN lớp 5A7</t>
  </si>
  <si>
    <t>Nguyễn Thị Huyền Trang</t>
  </si>
  <si>
    <t>Giáo viên, UV UBKT Đảng bộ</t>
  </si>
  <si>
    <t>GVCN lớp 5A8</t>
  </si>
  <si>
    <t>Đỗ Thị Minh Phượng</t>
  </si>
  <si>
    <t>GVCN lớp 5A9</t>
  </si>
  <si>
    <t>Tổ phó CM khối 5</t>
  </si>
  <si>
    <t>Lê Thị Thuỳ Linh</t>
  </si>
  <si>
    <t>GVCN lớp 5A10</t>
  </si>
  <si>
    <t>Bùi Thị Tuyết Trinh</t>
  </si>
  <si>
    <t>GVCN lớp 5A11</t>
  </si>
  <si>
    <t>Nguyễn Thị Thu Huyền</t>
  </si>
  <si>
    <t>0904215556</t>
  </si>
  <si>
    <t>GV Dự trữ, kiêm thủ quỹ</t>
  </si>
  <si>
    <t>Thủ quỹ</t>
  </si>
  <si>
    <t>Từ Thị Huyền</t>
  </si>
  <si>
    <t>0979334273</t>
  </si>
  <si>
    <t>GV Dự trữ</t>
  </si>
  <si>
    <t>Nguyễn Phương Anh B</t>
  </si>
  <si>
    <t>0337872432</t>
  </si>
  <si>
    <t>Trương Minh Ngọc</t>
  </si>
  <si>
    <t>06/01/2001</t>
  </si>
  <si>
    <t>0336419188</t>
  </si>
  <si>
    <t>Nguyễn Thị Hảo</t>
  </si>
  <si>
    <t>06/02/1997</t>
  </si>
  <si>
    <t>0981937572</t>
  </si>
  <si>
    <t>GV Dự trữ (đang nghỉ TS)</t>
  </si>
  <si>
    <t>Phạm Thị Hồng Nhung</t>
  </si>
  <si>
    <t>0972021931</t>
  </si>
  <si>
    <t>GV Dự trữ (đang  mang bầu)</t>
  </si>
  <si>
    <t>Lê Ngọc Vũ</t>
  </si>
  <si>
    <t>Nam</t>
  </si>
  <si>
    <t>0915330896</t>
  </si>
  <si>
    <t>Giáo viên mỹ thuật</t>
  </si>
  <si>
    <t>Tổ trường Tổ Bộ môn</t>
  </si>
  <si>
    <t>Nguyễn Thị Hòa</t>
  </si>
  <si>
    <t>0984545543</t>
  </si>
  <si>
    <t>Hoàng Thị Lan</t>
  </si>
  <si>
    <t>30/05/1976</t>
  </si>
  <si>
    <t>0912424126</t>
  </si>
  <si>
    <t>Tổ phó tổ Bộ môn</t>
  </si>
  <si>
    <t xml:space="preserve">Nguyễn Thị Thúy Hà </t>
  </si>
  <si>
    <t>0984951248</t>
  </si>
  <si>
    <t>Giáo viên Tiếng anh</t>
  </si>
  <si>
    <t xml:space="preserve">Phùng Thị Thu Thủy </t>
  </si>
  <si>
    <t>0913861577</t>
  </si>
  <si>
    <t>Lê Thị Ngọc Dung</t>
  </si>
  <si>
    <t>0932263887</t>
  </si>
  <si>
    <t>13/11/1980</t>
  </si>
  <si>
    <t>0976364966</t>
  </si>
  <si>
    <t>Nguyễn Thu Hiền</t>
  </si>
  <si>
    <t>HĐ</t>
  </si>
  <si>
    <t>0904884326</t>
  </si>
  <si>
    <t>Vũ Mai Hạnh</t>
  </si>
  <si>
    <t>0966296262</t>
  </si>
  <si>
    <t>Dạy bên phân hiệu</t>
  </si>
  <si>
    <t xml:space="preserve">Phạm Thị Thanh Thủy </t>
  </si>
  <si>
    <t>0914888019</t>
  </si>
  <si>
    <t>Giáo viên thể dục</t>
  </si>
  <si>
    <t>Nguyễn Văn Hội</t>
  </si>
  <si>
    <t>0984824787</t>
  </si>
  <si>
    <t>Bí thư Đoàn TN</t>
  </si>
  <si>
    <t>Hoàng Thị Thu Thảo</t>
  </si>
  <si>
    <t>0357738030</t>
  </si>
  <si>
    <t>Hoàng Quốc Trưởng</t>
  </si>
  <si>
    <t>0326458278</t>
  </si>
  <si>
    <t>Vũ Việt Anh</t>
  </si>
  <si>
    <t>0986342918</t>
  </si>
  <si>
    <t>Cử nhân SP GDTC</t>
  </si>
  <si>
    <t>Thùng Văn Hà</t>
  </si>
  <si>
    <t>0357592207</t>
  </si>
  <si>
    <t>Nguyễn Thị Thu Thảo</t>
  </si>
  <si>
    <t>0334065629</t>
  </si>
  <si>
    <t>Đỗ Trà My</t>
  </si>
  <si>
    <t>02/10/1988</t>
  </si>
  <si>
    <t>0961978683</t>
  </si>
  <si>
    <t>Giáo viên âm nhạc</t>
  </si>
  <si>
    <t>Hoàng Thị Thu</t>
  </si>
  <si>
    <t>0985668083</t>
  </si>
  <si>
    <t>Nguyễn Thị Kiều Chinh</t>
  </si>
  <si>
    <t>06/12/1998</t>
  </si>
  <si>
    <t>0934574783</t>
  </si>
  <si>
    <t>GV Âm nhạc</t>
  </si>
  <si>
    <t>Phó Tổng phụ trách Đội TNTP HCM</t>
  </si>
  <si>
    <t>Lê Lệ Trung</t>
  </si>
  <si>
    <t>0796011988</t>
  </si>
  <si>
    <t>Giáo viên tin học</t>
  </si>
  <si>
    <t>Nguyễn Thị Thảo Huyền</t>
  </si>
  <si>
    <t>0338015869</t>
  </si>
  <si>
    <t>Nguyễn Thị Thủy</t>
  </si>
  <si>
    <t>0976754888</t>
  </si>
  <si>
    <t>GV, TPT Đội</t>
  </si>
  <si>
    <t>Lê Thị Thủy</t>
  </si>
  <si>
    <t>0982606879</t>
  </si>
  <si>
    <t>Nhân viên kế toán</t>
  </si>
  <si>
    <t>Kế toán</t>
  </si>
  <si>
    <t>Lê Xuân Lưu</t>
  </si>
  <si>
    <t>25/06/1971</t>
  </si>
  <si>
    <t>0936085945</t>
  </si>
  <si>
    <t>Nguyễn Thị Hồng</t>
  </si>
  <si>
    <t>0782390604</t>
  </si>
  <si>
    <t>Nhân viên văn thư</t>
  </si>
  <si>
    <t>Tổ trưởng tổ văn phòng</t>
  </si>
  <si>
    <t>Lâm Thị Thanh Bình</t>
  </si>
  <si>
    <t>0374541052</t>
  </si>
  <si>
    <t>Cao đẳng</t>
  </si>
  <si>
    <t>Nhân viên y tế</t>
  </si>
  <si>
    <t>NV Y tế</t>
  </si>
  <si>
    <t>Nguyễn Thị Thanh Xuân</t>
  </si>
  <si>
    <t>27/11/1981</t>
  </si>
  <si>
    <t>0988884451</t>
  </si>
  <si>
    <t>Tổ phó tổ Văn phòng</t>
  </si>
  <si>
    <t>Tạ Thị Mai Hương</t>
  </si>
  <si>
    <t>0913081145</t>
  </si>
  <si>
    <t>Nhân viên thiết bị</t>
  </si>
  <si>
    <t>Thư viện</t>
  </si>
  <si>
    <t>Nguyễn Hồng Thu</t>
  </si>
  <si>
    <t>0984104177</t>
  </si>
  <si>
    <t>Nhân viên HĐ 111</t>
  </si>
  <si>
    <t>Lê Thị Vân</t>
  </si>
  <si>
    <t>0977308363</t>
  </si>
  <si>
    <t>Nguyễn Thị Hoa Thơm</t>
  </si>
  <si>
    <t>16/11/1976</t>
  </si>
  <si>
    <t>0387032532</t>
  </si>
  <si>
    <t>Nguyễn Văn Thuân</t>
  </si>
  <si>
    <t>0943532826</t>
  </si>
  <si>
    <t>NVBV phân hiệu trường</t>
  </si>
  <si>
    <t xml:space="preserve">Lưu Tiến Dũng </t>
  </si>
  <si>
    <t>0943133196</t>
  </si>
  <si>
    <t>Trần Thị Thanh Hương</t>
  </si>
  <si>
    <t>0936655618</t>
  </si>
  <si>
    <t>Nhân viên lao công phân hiệu trường</t>
  </si>
  <si>
    <t>Nguyễn Thị Lương Chi</t>
  </si>
  <si>
    <t>0985883977</t>
  </si>
  <si>
    <t>Đinh Công Nguyên</t>
  </si>
  <si>
    <t>0346341612</t>
  </si>
  <si>
    <t>Nhân viên bảo vệ</t>
  </si>
  <si>
    <t>Nguyễn Bá Hà</t>
  </si>
  <si>
    <t>0366108457</t>
  </si>
  <si>
    <t>Lê Công Chí</t>
  </si>
  <si>
    <t>0975354711</t>
  </si>
  <si>
    <t>Vũ Thị Mai</t>
  </si>
  <si>
    <t>0982529511</t>
  </si>
  <si>
    <t>Nhân viên lao công</t>
  </si>
  <si>
    <t>Lê Thúy Hạnh</t>
  </si>
  <si>
    <t>0901759966</t>
  </si>
  <si>
    <t>Nguyễn Thị Hằng</t>
  </si>
  <si>
    <t>0972449221</t>
  </si>
  <si>
    <t>Thầy Tuấn</t>
  </si>
  <si>
    <t>Mai Hùng Tiến</t>
  </si>
  <si>
    <t>0888381821</t>
  </si>
  <si>
    <t>HĐLĐ GDTC</t>
  </si>
  <si>
    <t>DANH SÁCH BAN TRUNG TÂM TRƯỜNG TIỂU HỌC NGUYỄN TRÃI
NĂM HỌC 2026-2027</t>
  </si>
  <si>
    <t>Đảng ủy viên-Phó CN UBKT Đảng ủy - Phó Hiệu trưởng</t>
  </si>
  <si>
    <t xml:space="preserve">Đại học </t>
  </si>
  <si>
    <t>Đảng ủy viên Đảng bộ - Giáo viên</t>
  </si>
  <si>
    <t>GV Mỹ thuật</t>
  </si>
  <si>
    <t>Tổng hợp số lượng CBGVNV trường TH Nguyễn Trãi
Năm học 2026-2027</t>
  </si>
  <si>
    <t>I</t>
  </si>
  <si>
    <t>Biến chế</t>
  </si>
  <si>
    <t>Tổng CBGVNV</t>
  </si>
  <si>
    <t>Ths</t>
  </si>
  <si>
    <t>ĐH</t>
  </si>
  <si>
    <t>CĐ</t>
  </si>
  <si>
    <t>BGH</t>
  </si>
  <si>
    <t>GVVH</t>
  </si>
  <si>
    <t>GVBM</t>
  </si>
  <si>
    <t>Nhân viên</t>
  </si>
  <si>
    <t>3 (HĐ)</t>
  </si>
  <si>
    <t>Thầy Tuấn chưa chuyển SHĐ</t>
  </si>
  <si>
    <t>Tổng BC</t>
  </si>
  <si>
    <t xml:space="preserve">II </t>
  </si>
  <si>
    <t>HĐLĐ</t>
  </si>
  <si>
    <t>HĐ111 Nhân viên</t>
  </si>
  <si>
    <t>HĐLĐ GV</t>
  </si>
  <si>
    <t>HĐLC</t>
  </si>
  <si>
    <t>(YK: 02)</t>
  </si>
  <si>
    <t>HĐBV</t>
  </si>
  <si>
    <t>Tổng HĐ</t>
  </si>
  <si>
    <t xml:space="preserve">Tổng cộng </t>
  </si>
  <si>
    <t>DANH SÁCH NHÂN VIÊN HỢP ĐỒNG LAO CÔNG BẢO VỆ
 TRƯỜNG TIỂU HỌC NGUYỄN TRÃI</t>
  </si>
  <si>
    <t>DANH SÁCH GIÁO VIÊN - NHÂN VIÊN HỢP ĐỒNG
TRƯỜNG TIỂU HỌC NGUYỄN TRÃI</t>
  </si>
  <si>
    <t>DANH SÁCH CÁN BỘ - GIÁO VIÊN - NHÂN VIÊN BIÊN CHẾ 
TRƯỜNG TIỂU HỌC NGUYỄN TRÃI</t>
  </si>
  <si>
    <t>Nhân viên HĐ 111: Báo ăn hằng ngày, HaNoicheck, HanoiWork, VPP</t>
  </si>
  <si>
    <t>Nhân viên HĐ 111: EnetViet, Website nhà trường</t>
  </si>
  <si>
    <t>Giáo viên Tin học lớp 3A10; 3A11; 3A12; 4A9; 4A10; 4A11; 4A12; 5A8; 5A9; 5A10; 5A11</t>
  </si>
  <si>
    <t>Giáo viên GDTC khối 2</t>
  </si>
  <si>
    <t>Giáo viên GDTC lớp 3A10; 4A9; 4A10; 4A11; 4A12; 5A8; 5A9; 5A10; 5A11</t>
  </si>
  <si>
    <t>Giáo viên GDTC lớp 1A9; 1A10; 1A11; 2A10; 2A11; 2A12; 2A13; 3A11; 3A12</t>
  </si>
  <si>
    <t>Giáo viên GDTC khối 4</t>
  </si>
  <si>
    <t>Trường chính</t>
  </si>
  <si>
    <t>Giáo viên GDTC khối 3</t>
  </si>
  <si>
    <t>Giáo viên Tiếng Anh lớp: 3A10; 3A11; 3A12; 4A11; 4A12.</t>
  </si>
  <si>
    <t>Giáo viên Tiếng Anh lớp: 3A4, 3A5, 3A6, 3A7, 3A8, 3A9</t>
  </si>
  <si>
    <t>Giáo viên Tiếng Anh lớp: 4A9; 4A10; 5A8; 5A9; 5A10; 5A1.</t>
  </si>
  <si>
    <t>Giáo viên Tiếng Anh lớp: 3A1, 3A2, 3A3, 4A1, 4A2, 4A3</t>
  </si>
  <si>
    <t>Giáo viên Tiếng Anh lớp: 5A4, 5A5, 5A6, 5A7, 4A7, 4A8</t>
  </si>
  <si>
    <t>Giáo viên Tiếng Anh lớp: 4A4, 4A5, 4A6, 5A1, 5A2, 5A3</t>
  </si>
  <si>
    <t>Giáo viên mĩ thuật lớp 1A9; 1A10; 1A11; 2A10; 2A11; 2A12; 2A13; 3A10; 3A11; 3A12; 4A9; 4A10; 4A11; 4A12; 5A8; 5A9; 5A10; 5A11</t>
  </si>
  <si>
    <t>Giáo viên mỹ thuật khối 1, khối 2, lớp 3A6, 3A7, 3A8, 3A9</t>
  </si>
  <si>
    <t>Giáo viên mỹ thuật khối 4, khối 5, lớp 3A1, 3A2, 3A3, 3A4, 3A5</t>
  </si>
  <si>
    <t>Giáo viên GDTC khối 1</t>
  </si>
  <si>
    <t>Giáo viên GDTC khối 5</t>
  </si>
  <si>
    <t>Giáo viên âm nhạc khối 1,2</t>
  </si>
  <si>
    <t>Giáo viên âm nhạc khối 3,4,5</t>
  </si>
  <si>
    <t>Giáo viên âm nhạc lớp: 1A9; 1A10; 1A11; 2A10; 2A11; 2A12; 2A13; 3A10; 3A11; 3A12; 4A9; 4A10; 4A11; 4A12; 5A8; 5A9; 5A10; 5A11</t>
  </si>
  <si>
    <t>Giáo viên Tin học trường chính</t>
  </si>
  <si>
    <t>Văn thư, PM CSDL. PCGD, Hồ sơ nhân sự</t>
  </si>
  <si>
    <t>NV Y tế trường chính</t>
  </si>
  <si>
    <t>NV Y tế phân hiệu</t>
  </si>
  <si>
    <t>Giáo viên Dự trữ dạy TNXH khối 2; Đạo đức lớp 2A1-&gt;2A5</t>
  </si>
  <si>
    <t>Giáo viên Dự trữ (ĐSTV khối 3, Đạo đức từ 2A6 -&gt;2A9; 1A2-&gt;1A4, HĐTN từ 1A1-&gt;1A8)</t>
  </si>
  <si>
    <t>Giáo viên Dự trữ Dạy Đạo đức và TNXH từ 1A1-&gt;1A8</t>
  </si>
  <si>
    <t>Dạy trường chính</t>
  </si>
  <si>
    <t>Nhân viên văn thư, PM CSDL, PM Quản lý nhân sự, PM Phổ cập GD</t>
  </si>
  <si>
    <t>PH HaNoiCheck, HaNoiWork, Mua sắm VPP, Báo ăn.</t>
  </si>
  <si>
    <t>PM EnetViet, Phụ trách Website nhà trường</t>
  </si>
  <si>
    <t>Dạy tiết Thư viện khối 4,5 tại trường chính</t>
  </si>
  <si>
    <t>Dạy thư viện khối 1,2,3 trường chính</t>
  </si>
  <si>
    <t>NV Y tế phân hiệu trường</t>
  </si>
  <si>
    <t>NV Y tế tại trường chính</t>
  </si>
  <si>
    <t>Thư ký ghi biên bản họp BCH Đảng bộ</t>
  </si>
  <si>
    <t>Tổ phó CM khối 3. Quản trị hệ thống dịch vụ công của Đảng, Phụ trách công tác tài chính Đảng</t>
  </si>
  <si>
    <t>Hà Đông, ngày   tháng    năm 2026</t>
  </si>
  <si>
    <t>HIỆU TRƯỞNG</t>
  </si>
  <si>
    <t>Hiệu trưởng</t>
  </si>
  <si>
    <t>Phó Hiệu trưởng</t>
  </si>
  <si>
    <t>Hà Đông, ngày 04  tháng  9  năm 2026</t>
  </si>
  <si>
    <t>Hà Tường Vy</t>
  </si>
  <si>
    <t>0342676982</t>
  </si>
  <si>
    <t>Giáo viên Tiếng Anh lớp: 3A5, 3A6, 3A7, 3A8, 3A9</t>
  </si>
  <si>
    <t>Lê Trung Tuấn</t>
  </si>
  <si>
    <t>0965135135</t>
  </si>
  <si>
    <t>CC</t>
  </si>
  <si>
    <t>GV dự trữ phụ trách điểm trường</t>
  </si>
  <si>
    <t>Nam,</t>
  </si>
  <si>
    <t>(03 TA, 5 TD,01 Tin)</t>
  </si>
  <si>
    <t>9 (HĐ)</t>
  </si>
  <si>
    <t>HĐ Bảo vệ</t>
  </si>
  <si>
    <t>Giáo viên Tiếng Anh lớp: 3A4, 3A5, 3A6</t>
  </si>
  <si>
    <t>Giáo viên Tiếng Anh lớp: 3A7, 3A8, 3A9</t>
  </si>
  <si>
    <t>Phụ trách chung công tác của nhà trường. Dạy môn Khoa học lớp 4A8. Bồi dưỡng chuyên môn nghiệp vụ cho giáo viên khối 1,2,3,4,5.Dạy thay giáo viên khi giáo viên nghỉ</t>
  </si>
  <si>
    <t>Phụ trách phân hiệu trường. Phụ trách PCGD,Kiểm định CL, PCGD, Thư viện-Thiết bị, Công tác công khai theo quy định trong các lĩnh vực được phân công. 
Bồi dưỡng chuyên môn nghiệp vụ cho giáo viên khối 1,2,3,4,5. Dạy tiết Toán các ngày thứ Ba, Tư trong tuần cho các lớp lần lượt từ khối 5 xuống khối 1. Dạy thay giáo viên khi giáo viên nghỉ</t>
  </si>
  <si>
    <t>Phụ trách trường chính. Hồ sơ CSVC, Bán trú, UDCNTT và CĐS, Phong trào Đoàn-Đội, Y tế. ATTH, KT Nội bộ, Cổng thông tin điện tử của nhà trường, Công khai theo quy định các lĩnh vực được phân công phụ trách. Bồi dưỡng chuyên môn nghiệp vụ cho giáo viên khối 1,2,3,4,5. Dạy môn Toán lớp 3A8 các ngày từ thứ Ba đến thứ Sáu trong tuần; Dạy thay giáo viên khi giáo viên nghỉ.</t>
  </si>
  <si>
    <t>Phụ trách điểm trường. Dạy môn Công nghệ các lớp từ 4A1 đến 4A8, 5A1 đến 5A7, 3A1 đến 3A7 và 3A9.</t>
  </si>
  <si>
    <t>Giáo viên Dự trữ dạy TNXH các lớp từ 2A1 đến 2A9. Dạy môn Đạo đức lớp 2A1-&gt;2A5</t>
  </si>
  <si>
    <t>Giáo viên Dự trữ (Dạy môn Đạo đức từ 2A6 -&gt;2A9; 1A2-&gt;1A4, HĐTN từ 1A1-&gt;1A8; Dạy ĐSTV từ 3A1 đến 3A9.</t>
  </si>
  <si>
    <t>GV Dự trữ dạy TNXH và HĐCC các lớp: 1A9, 1A10, 1A11; Khối 2: 2A10, 2A11, 2A12, 2A13.
Tiết Thư viện của các lớp: 1A9, 1A10, 1A11, 2A10, 2A11, 5A10, 3A10, 3A12, 4A12.</t>
  </si>
  <si>
    <t>GV Dự trữ (đang mang bầu)</t>
  </si>
  <si>
    <t>Giáo viên dự trữ</t>
  </si>
  <si>
    <t>DANH SÁCH SỐ ĐIỆN THOẠI CÁN BỘ - GIÁO VIÊN - NHÂN VIÊN TRƯỜNG TIỂU HỌC NGUYỄN TRÃI</t>
  </si>
  <si>
    <t>Phó Hiệu Trưởng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</si>
</sst>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font>
      <sz val="10"/>
      <name val="Times New Roman"/>
      <charset val="134"/>
    </font>
    <font>
      <b/>
      <sz val="12"/>
      <name val="Times New Roman"/>
      <family val="1"/>
    </font>
    <font>
      <sz val="12"/>
      <name val="Times New Roman"/>
      <family val="1"/>
    </font>
    <font>
      <b/>
      <sz val="14"/>
      <name val="Times New Roman"/>
      <family val="1"/>
    </font>
    <font>
      <b/>
      <sz val="12"/>
      <color theme="1"/>
      <name val="Times New Roman"/>
      <family val="1"/>
    </font>
    <font>
      <sz val="12"/>
      <color theme="1"/>
      <name val="Times New Roman"/>
      <family val="1"/>
    </font>
    <font>
      <sz val="13"/>
      <name val="Times New Roman"/>
      <family val="1"/>
    </font>
    <font>
      <b/>
      <sz val="10"/>
      <name val="Times New Roman"/>
      <family val="1"/>
    </font>
    <font>
      <b/>
      <sz val="14"/>
      <name val=".VnTimeH"/>
      <family val="2"/>
    </font>
    <font>
      <b/>
      <sz val="13"/>
      <name val="Times New Roman"/>
      <family val="1"/>
    </font>
    <font>
      <b/>
      <sz val="14"/>
      <color theme="1"/>
      <name val="Times New Roman"/>
      <family val="1"/>
    </font>
    <font>
      <sz val="12"/>
      <color rgb="FFFF0000"/>
      <name val="Times New Roman"/>
      <family val="1"/>
    </font>
    <font>
      <sz val="13"/>
      <color theme="1"/>
      <name val="Times New Roman"/>
      <family val="1"/>
    </font>
    <font>
      <b/>
      <sz val="10"/>
      <color theme="1"/>
      <name val="Times New Roman"/>
      <family val="1"/>
    </font>
    <font>
      <b/>
      <sz val="14"/>
      <color theme="1"/>
      <name val=".VnTimeH"/>
      <family val="2"/>
    </font>
    <font>
      <b/>
      <sz val="13"/>
      <color theme="1"/>
      <name val="Times New Roman"/>
      <family val="1"/>
    </font>
    <font>
      <i/>
      <sz val="12"/>
      <color theme="1"/>
      <name val="Times New Roman"/>
      <family val="1"/>
    </font>
    <font>
      <b/>
      <sz val="12"/>
      <color rgb="FFFF0000"/>
      <name val="Times New Roman"/>
      <family val="1"/>
    </font>
    <font>
      <sz val="11"/>
      <color rgb="FFFF0000"/>
      <name val="Times New Roman"/>
      <family val="1"/>
    </font>
    <font>
      <sz val="13"/>
      <color rgb="FFEE0000"/>
      <name val="Times New Roman"/>
      <family val="1"/>
    </font>
    <font>
      <i/>
      <sz val="13"/>
      <color theme="1"/>
      <name val="Times New Roman"/>
      <family val="1"/>
    </font>
    <font>
      <sz val="13"/>
      <color rgb="FFFF0000"/>
      <name val="Times New Roman"/>
      <family val="1"/>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indexed="64"/>
      </left>
      <right style="medium">
        <color indexed="64"/>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0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1" fillId="0" borderId="6" xfId="0" applyFont="1" applyBorder="1" applyAlignment="1">
      <alignment horizontal="center" vertical="center"/>
    </xf>
    <xf numFmtId="0" fontId="1" fillId="0" borderId="6" xfId="0" applyFont="1" applyBorder="1" applyAlignment="1">
      <alignment horizontal="center" vertical="center" wrapText="1"/>
    </xf>
    <xf numFmtId="0" fontId="2" fillId="0" borderId="6" xfId="0" applyFont="1" applyBorder="1"/>
    <xf numFmtId="0" fontId="2" fillId="0" borderId="6" xfId="0" applyFont="1" applyBorder="1" applyAlignment="1">
      <alignment horizontal="center"/>
    </xf>
    <xf numFmtId="0" fontId="1" fillId="0" borderId="6" xfId="0" applyFont="1" applyBorder="1"/>
    <xf numFmtId="0" fontId="1" fillId="0" borderId="6" xfId="0" applyFont="1" applyBorder="1" applyAlignment="1">
      <alignment horizontal="center"/>
    </xf>
    <xf numFmtId="0" fontId="1" fillId="0" borderId="6" xfId="0" applyFont="1" applyBorder="1" applyAlignment="1">
      <alignment horizontal="left"/>
    </xf>
    <xf numFmtId="0" fontId="2" fillId="0" borderId="6" xfId="0" applyFont="1" applyBorder="1" applyAlignment="1">
      <alignment horizontal="center" wrapText="1"/>
    </xf>
    <xf numFmtId="0" fontId="1" fillId="0" borderId="0" xfId="0" applyFont="1" applyAlignment="1">
      <alignment horizontal="center"/>
    </xf>
    <xf numFmtId="0" fontId="4" fillId="0" borderId="0" xfId="0" applyFont="1" applyAlignment="1">
      <alignment horizontal="center"/>
    </xf>
    <xf numFmtId="0" fontId="5" fillId="0" borderId="0" xfId="0" applyFont="1"/>
    <xf numFmtId="0" fontId="5" fillId="0" borderId="0" xfId="0" applyFont="1" applyAlignment="1">
      <alignment horizontal="center"/>
    </xf>
    <xf numFmtId="0" fontId="7" fillId="0" borderId="0" xfId="0" applyFont="1" applyAlignment="1">
      <alignment horizontal="center" wrapText="1"/>
    </xf>
    <xf numFmtId="0" fontId="8" fillId="0" borderId="0" xfId="0" applyFont="1" applyAlignment="1">
      <alignment horizontal="center"/>
    </xf>
    <xf numFmtId="0" fontId="3" fillId="0" borderId="1" xfId="0" applyFont="1" applyBorder="1" applyAlignment="1">
      <alignment horizontal="center"/>
    </xf>
    <xf numFmtId="0" fontId="10" fillId="0" borderId="1" xfId="0" applyFont="1" applyBorder="1" applyAlignment="1">
      <alignment horizontal="center"/>
    </xf>
    <xf numFmtId="0" fontId="4" fillId="0" borderId="6" xfId="0" applyFont="1" applyBorder="1" applyAlignment="1">
      <alignment horizontal="center" vertical="center" wrapText="1"/>
    </xf>
    <xf numFmtId="0" fontId="5" fillId="0" borderId="6" xfId="0" applyFont="1" applyBorder="1" applyAlignment="1">
      <alignment horizontal="center" vertical="center"/>
    </xf>
    <xf numFmtId="0" fontId="5" fillId="0" borderId="6" xfId="0" applyFont="1" applyBorder="1" applyAlignment="1">
      <alignment horizontal="left" vertical="center" wrapText="1"/>
    </xf>
    <xf numFmtId="14" fontId="5" fillId="0" borderId="6" xfId="0" applyNumberFormat="1" applyFont="1" applyFill="1" applyBorder="1" applyAlignment="1">
      <alignment horizontal="center" vertical="center"/>
    </xf>
    <xf numFmtId="0" fontId="5" fillId="0" borderId="6" xfId="0" applyFont="1" applyBorder="1" applyAlignment="1">
      <alignment horizontal="center" vertical="center" wrapText="1"/>
    </xf>
    <xf numFmtId="0" fontId="5" fillId="0" borderId="6" xfId="0" applyFont="1" applyBorder="1" applyAlignment="1">
      <alignment vertical="center" wrapText="1"/>
    </xf>
    <xf numFmtId="0" fontId="4" fillId="0" borderId="6" xfId="0" applyFont="1" applyBorder="1" applyAlignment="1">
      <alignment horizontal="center"/>
    </xf>
    <xf numFmtId="14" fontId="5" fillId="0" borderId="6" xfId="0" applyNumberFormat="1" applyFont="1" applyBorder="1" applyAlignment="1">
      <alignment horizontal="center" vertical="center" wrapText="1"/>
    </xf>
    <xf numFmtId="0" fontId="5" fillId="0" borderId="6" xfId="0" applyFont="1" applyBorder="1"/>
    <xf numFmtId="0" fontId="5" fillId="0" borderId="8" xfId="0" applyFont="1" applyBorder="1" applyAlignment="1">
      <alignment horizontal="left" vertical="center"/>
    </xf>
    <xf numFmtId="0" fontId="5" fillId="0" borderId="0" xfId="0" applyFont="1" applyBorder="1" applyAlignment="1">
      <alignment horizontal="left" vertical="center"/>
    </xf>
    <xf numFmtId="0" fontId="5" fillId="0" borderId="7" xfId="0" applyFont="1" applyBorder="1" applyAlignment="1">
      <alignment vertical="center" wrapText="1"/>
    </xf>
    <xf numFmtId="0" fontId="5" fillId="0" borderId="6" xfId="0" applyFont="1" applyFill="1" applyBorder="1" applyAlignment="1">
      <alignment vertical="center"/>
    </xf>
    <xf numFmtId="0" fontId="5" fillId="0" borderId="6" xfId="0" applyFont="1" applyBorder="1" applyAlignment="1">
      <alignment horizontal="center"/>
    </xf>
    <xf numFmtId="0" fontId="5" fillId="0" borderId="6" xfId="0" applyFont="1" applyBorder="1" applyAlignment="1">
      <alignment horizontal="center" vertical="top" wrapText="1"/>
    </xf>
    <xf numFmtId="0" fontId="5" fillId="0" borderId="7" xfId="0" applyFont="1" applyBorder="1"/>
    <xf numFmtId="0" fontId="5" fillId="0" borderId="0" xfId="0" applyFont="1" applyAlignment="1">
      <alignment horizontal="justify" vertical="top" wrapText="1"/>
    </xf>
    <xf numFmtId="0" fontId="5" fillId="2" borderId="0" xfId="0" applyFont="1" applyFill="1" applyAlignment="1">
      <alignment horizontal="center" vertical="top" wrapText="1"/>
    </xf>
    <xf numFmtId="0" fontId="5" fillId="2" borderId="0" xfId="0" applyFont="1" applyFill="1" applyAlignment="1">
      <alignment horizontal="justify" vertical="top" wrapText="1"/>
    </xf>
    <xf numFmtId="0" fontId="5" fillId="2" borderId="0" xfId="0" applyFont="1" applyFill="1" applyAlignment="1">
      <alignment vertical="center" wrapText="1"/>
    </xf>
    <xf numFmtId="0" fontId="5" fillId="2" borderId="0" xfId="0" applyFont="1" applyFill="1"/>
    <xf numFmtId="0" fontId="5" fillId="2" borderId="6" xfId="0" applyFont="1" applyFill="1" applyBorder="1" applyAlignment="1">
      <alignment horizontal="center" vertical="top" wrapText="1"/>
    </xf>
    <xf numFmtId="0" fontId="5" fillId="0" borderId="6" xfId="0" applyFont="1" applyBorder="1" applyAlignment="1">
      <alignment vertical="center"/>
    </xf>
    <xf numFmtId="0" fontId="5" fillId="0" borderId="6" xfId="0" applyFont="1" applyBorder="1" applyAlignment="1"/>
    <xf numFmtId="0" fontId="5" fillId="0" borderId="0" xfId="0" applyFont="1" applyAlignment="1">
      <alignment horizontal="center" vertical="center"/>
    </xf>
    <xf numFmtId="0" fontId="11" fillId="0" borderId="0" xfId="0" applyFont="1"/>
    <xf numFmtId="0" fontId="5" fillId="0" borderId="0" xfId="0" applyFont="1" applyFill="1"/>
    <xf numFmtId="0" fontId="12" fillId="0" borderId="0" xfId="0" applyFont="1" applyAlignment="1">
      <alignment horizontal="center" wrapText="1"/>
    </xf>
    <xf numFmtId="0" fontId="13" fillId="0" borderId="0" xfId="0" applyFont="1" applyAlignment="1">
      <alignment horizontal="center" wrapText="1"/>
    </xf>
    <xf numFmtId="0" fontId="14" fillId="0" borderId="0" xfId="0" applyFont="1" applyAlignment="1">
      <alignment horizontal="center"/>
    </xf>
    <xf numFmtId="0" fontId="15" fillId="0" borderId="0" xfId="0" applyFont="1" applyAlignment="1">
      <alignment horizontal="center" vertical="top" wrapText="1"/>
    </xf>
    <xf numFmtId="0" fontId="4" fillId="0" borderId="6" xfId="0" applyFont="1" applyBorder="1" applyAlignment="1">
      <alignment horizontal="center" vertical="center"/>
    </xf>
    <xf numFmtId="1" fontId="5" fillId="0" borderId="6" xfId="0" applyNumberFormat="1" applyFont="1" applyFill="1" applyBorder="1" applyAlignment="1">
      <alignment horizontal="center" vertical="center"/>
    </xf>
    <xf numFmtId="0" fontId="5" fillId="0" borderId="6" xfId="0" applyFont="1" applyFill="1" applyBorder="1" applyAlignment="1">
      <alignment horizontal="center" vertical="center"/>
    </xf>
    <xf numFmtId="14" fontId="5" fillId="0" borderId="6" xfId="0" applyNumberFormat="1" applyFont="1" applyFill="1" applyBorder="1" applyAlignment="1" applyProtection="1">
      <alignment horizontal="center" vertical="center" wrapText="1"/>
    </xf>
    <xf numFmtId="0" fontId="5" fillId="0" borderId="6" xfId="0" applyFont="1" applyFill="1" applyBorder="1" applyAlignment="1">
      <alignment horizontal="left" vertical="center"/>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0" fontId="5" fillId="0" borderId="6" xfId="0" applyFont="1" applyFill="1" applyBorder="1" applyAlignment="1">
      <alignment vertical="center" wrapText="1"/>
    </xf>
    <xf numFmtId="14" fontId="5" fillId="2" borderId="6" xfId="0" applyNumberFormat="1" applyFont="1" applyFill="1" applyBorder="1" applyAlignment="1">
      <alignment horizontal="center" vertical="center" wrapText="1"/>
    </xf>
    <xf numFmtId="0" fontId="5" fillId="0" borderId="0" xfId="0" applyFont="1" applyFill="1" applyAlignment="1">
      <alignment vertical="center"/>
    </xf>
    <xf numFmtId="0" fontId="5" fillId="0" borderId="0" xfId="0" applyFont="1" applyAlignment="1">
      <alignment horizontal="center" vertical="top" wrapText="1"/>
    </xf>
    <xf numFmtId="0" fontId="5" fillId="0" borderId="0" xfId="0" applyFont="1" applyAlignment="1">
      <alignment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5" fillId="0" borderId="7" xfId="0" applyFont="1" applyBorder="1" applyAlignment="1">
      <alignment vertical="center"/>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16" fillId="0" borderId="6" xfId="0" applyFont="1" applyBorder="1" applyAlignment="1"/>
    <xf numFmtId="0" fontId="4" fillId="0" borderId="6" xfId="0" applyFont="1" applyBorder="1" applyAlignment="1"/>
    <xf numFmtId="0" fontId="5" fillId="0" borderId="11" xfId="0" applyFont="1" applyBorder="1" applyAlignment="1">
      <alignment horizontal="center" vertical="center" wrapText="1"/>
    </xf>
    <xf numFmtId="0" fontId="11" fillId="0" borderId="6" xfId="0" applyFont="1" applyBorder="1" applyAlignment="1">
      <alignment horizontal="left" vertical="center" wrapText="1"/>
    </xf>
    <xf numFmtId="14" fontId="11" fillId="0" borderId="6" xfId="0" applyNumberFormat="1" applyFont="1" applyBorder="1" applyAlignment="1">
      <alignment horizontal="center" vertical="center" wrapText="1"/>
    </xf>
    <xf numFmtId="14" fontId="11" fillId="0" borderId="6" xfId="0" applyNumberFormat="1" applyFont="1" applyFill="1" applyBorder="1" applyAlignment="1">
      <alignment horizontal="center" vertical="center"/>
    </xf>
    <xf numFmtId="1" fontId="11" fillId="0" borderId="6" xfId="0" applyNumberFormat="1" applyFont="1" applyFill="1" applyBorder="1" applyAlignment="1">
      <alignment horizontal="center" vertical="center"/>
    </xf>
    <xf numFmtId="0" fontId="11" fillId="0" borderId="6" xfId="0" applyFont="1" applyBorder="1" applyAlignment="1">
      <alignment horizontal="center" vertical="center" wrapText="1"/>
    </xf>
    <xf numFmtId="0" fontId="11" fillId="0" borderId="6" xfId="0" applyFont="1" applyBorder="1" applyAlignment="1">
      <alignment horizontal="center" vertical="center"/>
    </xf>
    <xf numFmtId="0" fontId="11" fillId="0" borderId="6" xfId="0" applyFont="1" applyBorder="1" applyAlignment="1">
      <alignment vertical="center"/>
    </xf>
    <xf numFmtId="0" fontId="17" fillId="0" borderId="6" xfId="0" applyFont="1" applyBorder="1"/>
    <xf numFmtId="0" fontId="11" fillId="0" borderId="6" xfId="0" applyFont="1" applyBorder="1"/>
    <xf numFmtId="0" fontId="11" fillId="0" borderId="6" xfId="0" applyFont="1" applyBorder="1" applyAlignment="1">
      <alignment vertical="center" wrapText="1"/>
    </xf>
    <xf numFmtId="0" fontId="5" fillId="0" borderId="6" xfId="0" applyFont="1" applyBorder="1" applyAlignment="1">
      <alignment wrapText="1"/>
    </xf>
    <xf numFmtId="0" fontId="11" fillId="0" borderId="6" xfId="0" applyFont="1" applyFill="1" applyBorder="1" applyAlignment="1">
      <alignment vertical="center"/>
    </xf>
    <xf numFmtId="0" fontId="17" fillId="0" borderId="6" xfId="0" applyFont="1" applyBorder="1" applyAlignment="1"/>
    <xf numFmtId="0" fontId="5" fillId="0" borderId="2" xfId="0" applyFont="1" applyBorder="1"/>
    <xf numFmtId="14" fontId="5" fillId="0" borderId="6" xfId="0" applyNumberFormat="1"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6" xfId="0" applyFont="1" applyFill="1" applyBorder="1"/>
    <xf numFmtId="14" fontId="5" fillId="0" borderId="6" xfId="0" applyNumberFormat="1" applyFont="1" applyBorder="1" applyAlignment="1">
      <alignment horizontal="center" vertical="center"/>
    </xf>
    <xf numFmtId="0" fontId="18" fillId="0" borderId="6" xfId="0" applyFont="1" applyFill="1" applyBorder="1"/>
    <xf numFmtId="0" fontId="11" fillId="0" borderId="6" xfId="0" applyFont="1" applyFill="1" applyBorder="1" applyAlignment="1">
      <alignment wrapText="1"/>
    </xf>
    <xf numFmtId="14" fontId="11" fillId="0" borderId="6" xfId="0" applyNumberFormat="1" applyFont="1" applyBorder="1" applyAlignment="1">
      <alignment horizontal="center" vertical="center"/>
    </xf>
    <xf numFmtId="1" fontId="5" fillId="0" borderId="6" xfId="0" applyNumberFormat="1" applyFont="1" applyFill="1" applyBorder="1" applyAlignment="1">
      <alignment horizontal="center"/>
    </xf>
    <xf numFmtId="0" fontId="4" fillId="0" borderId="6" xfId="0" applyFont="1" applyBorder="1"/>
    <xf numFmtId="14" fontId="5" fillId="0" borderId="6" xfId="0" quotePrefix="1" applyNumberFormat="1" applyFont="1" applyFill="1" applyBorder="1" applyAlignment="1">
      <alignment horizontal="center" vertical="center"/>
    </xf>
    <xf numFmtId="14" fontId="5" fillId="0" borderId="6" xfId="0" quotePrefix="1" applyNumberFormat="1" applyFont="1" applyBorder="1" applyAlignment="1">
      <alignment horizontal="center" vertical="center" wrapText="1"/>
    </xf>
    <xf numFmtId="0" fontId="5" fillId="0" borderId="6" xfId="0" quotePrefix="1" applyFont="1" applyFill="1" applyBorder="1" applyAlignment="1">
      <alignment horizontal="center" vertical="center"/>
    </xf>
    <xf numFmtId="0" fontId="5" fillId="0" borderId="0" xfId="0" quotePrefix="1" applyFont="1" applyFill="1" applyAlignment="1">
      <alignment horizontal="center" vertical="center"/>
    </xf>
    <xf numFmtId="0" fontId="5" fillId="0" borderId="10" xfId="0" quotePrefix="1" applyFont="1" applyBorder="1" applyAlignment="1">
      <alignment horizontal="center" vertical="center" wrapText="1"/>
    </xf>
    <xf numFmtId="0" fontId="11" fillId="0" borderId="6" xfId="0" quotePrefix="1" applyFont="1" applyBorder="1" applyAlignment="1">
      <alignment horizontal="center" vertical="center" wrapText="1"/>
    </xf>
    <xf numFmtId="0" fontId="11" fillId="0" borderId="6" xfId="0" quotePrefix="1" applyFont="1" applyFill="1" applyBorder="1" applyAlignment="1">
      <alignment horizontal="center" vertical="center"/>
    </xf>
    <xf numFmtId="0" fontId="5" fillId="0" borderId="6" xfId="0" quotePrefix="1" applyFont="1" applyBorder="1" applyAlignment="1">
      <alignment horizontal="center" vertical="center" wrapText="1"/>
    </xf>
    <xf numFmtId="0" fontId="12" fillId="0" borderId="0" xfId="0" applyFont="1" applyAlignment="1">
      <alignment horizontal="center" wrapText="1"/>
    </xf>
    <xf numFmtId="0" fontId="14" fillId="0" borderId="0" xfId="0" applyFont="1" applyAlignment="1">
      <alignment horizontal="center"/>
    </xf>
    <xf numFmtId="0" fontId="15" fillId="0" borderId="0" xfId="0" applyFont="1" applyAlignment="1">
      <alignment horizontal="center" vertical="top" wrapText="1"/>
    </xf>
    <xf numFmtId="0" fontId="5" fillId="0" borderId="0" xfId="0" applyFont="1" applyAlignment="1">
      <alignment wrapText="1"/>
    </xf>
    <xf numFmtId="0" fontId="6" fillId="0" borderId="6" xfId="0" applyFont="1" applyBorder="1" applyAlignment="1">
      <alignment wrapText="1"/>
    </xf>
    <xf numFmtId="0" fontId="6" fillId="0" borderId="12" xfId="0" applyFont="1" applyBorder="1" applyAlignment="1">
      <alignment vertical="center" wrapText="1"/>
    </xf>
    <xf numFmtId="0" fontId="6" fillId="0" borderId="0" xfId="0" applyFont="1" applyAlignment="1">
      <alignment wrapText="1"/>
    </xf>
    <xf numFmtId="0" fontId="11" fillId="0" borderId="13" xfId="0" applyFont="1" applyBorder="1" applyAlignment="1">
      <alignment horizontal="center" vertical="center"/>
    </xf>
    <xf numFmtId="0" fontId="17" fillId="0" borderId="14" xfId="0" applyFont="1" applyBorder="1"/>
    <xf numFmtId="0" fontId="6" fillId="0" borderId="6" xfId="0" applyFont="1" applyBorder="1" applyAlignment="1">
      <alignment vertical="center" wrapText="1"/>
    </xf>
    <xf numFmtId="0" fontId="4" fillId="0" borderId="6" xfId="0" applyFont="1" applyBorder="1" applyAlignment="1">
      <alignment vertical="center" wrapText="1"/>
    </xf>
    <xf numFmtId="0" fontId="19" fillId="0" borderId="6" xfId="0" applyFont="1" applyBorder="1" applyAlignment="1">
      <alignment wrapText="1"/>
    </xf>
    <xf numFmtId="0" fontId="5" fillId="0" borderId="2" xfId="0" applyFont="1" applyBorder="1" applyAlignment="1">
      <alignment vertical="center" wrapText="1"/>
    </xf>
    <xf numFmtId="0" fontId="6" fillId="0" borderId="6" xfId="0" applyFont="1" applyBorder="1" applyAlignment="1">
      <alignment vertical="center"/>
    </xf>
    <xf numFmtId="0" fontId="6" fillId="0" borderId="0" xfId="0" applyFont="1" applyAlignment="1">
      <alignment vertical="center" wrapText="1"/>
    </xf>
    <xf numFmtId="0" fontId="5" fillId="0" borderId="0" xfId="0" applyFont="1" applyAlignment="1">
      <alignment horizontal="center"/>
    </xf>
    <xf numFmtId="0" fontId="4" fillId="0" borderId="0" xfId="0" applyFont="1" applyAlignment="1">
      <alignment horizontal="center"/>
    </xf>
    <xf numFmtId="0" fontId="14" fillId="0" borderId="0" xfId="0" applyFont="1" applyAlignment="1">
      <alignment horizontal="center"/>
    </xf>
    <xf numFmtId="0" fontId="16" fillId="0" borderId="0" xfId="0" applyFont="1" applyAlignment="1">
      <alignment horizontal="center"/>
    </xf>
    <xf numFmtId="0" fontId="12" fillId="0" borderId="6" xfId="0" applyFont="1" applyBorder="1" applyAlignment="1">
      <alignment horizontal="center" vertical="center"/>
    </xf>
    <xf numFmtId="0" fontId="12" fillId="0" borderId="6" xfId="0" applyFont="1" applyBorder="1" applyAlignment="1">
      <alignment horizontal="left" vertical="center" wrapText="1"/>
    </xf>
    <xf numFmtId="14" fontId="12" fillId="0" borderId="6" xfId="0" applyNumberFormat="1" applyFont="1" applyFill="1" applyBorder="1" applyAlignment="1">
      <alignment horizontal="center" vertical="center"/>
    </xf>
    <xf numFmtId="14" fontId="12" fillId="0" borderId="6" xfId="0" quotePrefix="1" applyNumberFormat="1" applyFont="1" applyFill="1" applyBorder="1" applyAlignment="1">
      <alignment horizontal="center" vertical="center"/>
    </xf>
    <xf numFmtId="0" fontId="12" fillId="0" borderId="6" xfId="0" applyFont="1" applyBorder="1" applyAlignment="1">
      <alignment horizontal="center" vertical="center" wrapText="1"/>
    </xf>
    <xf numFmtId="0" fontId="12" fillId="0" borderId="6" xfId="0" applyFont="1" applyBorder="1" applyAlignment="1">
      <alignment vertical="center" wrapText="1"/>
    </xf>
    <xf numFmtId="0" fontId="15" fillId="0" borderId="6" xfId="0" applyFont="1" applyBorder="1" applyAlignment="1">
      <alignment horizontal="center"/>
    </xf>
    <xf numFmtId="0" fontId="15" fillId="0" borderId="0" xfId="0" applyFont="1" applyAlignment="1">
      <alignment horizontal="center"/>
    </xf>
    <xf numFmtId="14" fontId="12" fillId="0" borderId="6" xfId="0" applyNumberFormat="1" applyFont="1" applyBorder="1" applyAlignment="1">
      <alignment horizontal="center" vertical="center" wrapText="1"/>
    </xf>
    <xf numFmtId="14" fontId="12" fillId="0" borderId="6" xfId="0" quotePrefix="1" applyNumberFormat="1" applyFont="1" applyBorder="1" applyAlignment="1">
      <alignment horizontal="center" vertical="center" wrapText="1"/>
    </xf>
    <xf numFmtId="0" fontId="12" fillId="0" borderId="6" xfId="0" applyFont="1" applyBorder="1"/>
    <xf numFmtId="0" fontId="12" fillId="0" borderId="0" xfId="0" applyFont="1"/>
    <xf numFmtId="0" fontId="12" fillId="0" borderId="8" xfId="0" applyFont="1" applyBorder="1" applyAlignment="1">
      <alignment horizontal="left" vertical="center"/>
    </xf>
    <xf numFmtId="0" fontId="12" fillId="0" borderId="6" xfId="0" applyFont="1" applyFill="1" applyBorder="1" applyAlignment="1">
      <alignment vertical="center"/>
    </xf>
    <xf numFmtId="0" fontId="12" fillId="0" borderId="6" xfId="0" quotePrefix="1" applyFont="1" applyFill="1" applyBorder="1" applyAlignment="1">
      <alignment horizontal="center" vertical="center"/>
    </xf>
    <xf numFmtId="14" fontId="12" fillId="0" borderId="6" xfId="0" applyNumberFormat="1" applyFont="1" applyFill="1" applyBorder="1" applyAlignment="1" applyProtection="1">
      <alignment horizontal="center" vertical="center" wrapText="1"/>
    </xf>
    <xf numFmtId="0" fontId="12" fillId="0" borderId="6" xfId="0" applyFont="1" applyFill="1" applyBorder="1" applyAlignment="1">
      <alignment horizontal="left" vertical="center"/>
    </xf>
    <xf numFmtId="0" fontId="12" fillId="0" borderId="0" xfId="0" applyFont="1" applyAlignment="1">
      <alignment horizontal="justify" vertical="top" wrapText="1"/>
    </xf>
    <xf numFmtId="0" fontId="12" fillId="2" borderId="0" xfId="0" applyFont="1" applyFill="1" applyAlignment="1">
      <alignment horizontal="center" vertical="top" wrapText="1"/>
    </xf>
    <xf numFmtId="0" fontId="12" fillId="2" borderId="0" xfId="0" applyFont="1" applyFill="1" applyAlignment="1">
      <alignment horizontal="justify" vertical="top" wrapText="1"/>
    </xf>
    <xf numFmtId="0" fontId="12" fillId="2" borderId="0" xfId="0" applyFont="1" applyFill="1" applyAlignment="1">
      <alignment vertical="center" wrapText="1"/>
    </xf>
    <xf numFmtId="0" fontId="12" fillId="2" borderId="0" xfId="0" applyFont="1" applyFill="1"/>
    <xf numFmtId="0" fontId="12" fillId="0" borderId="0" xfId="0" quotePrefix="1" applyFont="1" applyFill="1" applyAlignment="1">
      <alignment horizontal="center" vertical="center"/>
    </xf>
    <xf numFmtId="0" fontId="12" fillId="0" borderId="6" xfId="0" applyFont="1" applyFill="1" applyBorder="1" applyAlignment="1">
      <alignment vertical="center" wrapText="1"/>
    </xf>
    <xf numFmtId="14" fontId="12" fillId="2" borderId="6" xfId="0" applyNumberFormat="1" applyFont="1" applyFill="1" applyBorder="1" applyAlignment="1">
      <alignment horizontal="center" vertical="center" wrapText="1"/>
    </xf>
    <xf numFmtId="0" fontId="12" fillId="0" borderId="0" xfId="0" applyFont="1" applyFill="1" applyAlignment="1">
      <alignment vertical="center"/>
    </xf>
    <xf numFmtId="0" fontId="12" fillId="0" borderId="0" xfId="0" applyFont="1" applyAlignment="1">
      <alignment horizontal="center" vertical="top" wrapText="1"/>
    </xf>
    <xf numFmtId="0" fontId="12" fillId="0" borderId="0" xfId="0" applyFont="1" applyAlignment="1">
      <alignment vertical="center" wrapText="1"/>
    </xf>
    <xf numFmtId="0" fontId="12" fillId="0" borderId="0" xfId="0" applyFont="1" applyAlignment="1">
      <alignment horizontal="center" vertical="center" wrapText="1"/>
    </xf>
    <xf numFmtId="0" fontId="12" fillId="0" borderId="8" xfId="0" applyFont="1" applyBorder="1" applyAlignment="1">
      <alignment horizontal="center" vertical="center" wrapText="1"/>
    </xf>
    <xf numFmtId="0" fontId="12" fillId="0" borderId="0" xfId="0" applyFont="1" applyAlignment="1">
      <alignment horizontal="center" vertical="center"/>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0" xfId="0" quotePrefix="1" applyFont="1" applyBorder="1" applyAlignment="1">
      <alignment horizontal="center" vertical="center" wrapText="1"/>
    </xf>
    <xf numFmtId="0" fontId="20" fillId="0" borderId="6" xfId="0" applyFont="1" applyBorder="1" applyAlignment="1"/>
    <xf numFmtId="0" fontId="15" fillId="0" borderId="6" xfId="0" applyFont="1" applyBorder="1" applyAlignment="1"/>
    <xf numFmtId="0" fontId="12" fillId="0" borderId="11" xfId="0" applyFont="1" applyBorder="1" applyAlignment="1">
      <alignment horizontal="center" vertical="center" wrapText="1"/>
    </xf>
    <xf numFmtId="0" fontId="21" fillId="0" borderId="6" xfId="0" applyFont="1" applyBorder="1" applyAlignment="1">
      <alignment horizontal="left" vertical="center" wrapText="1"/>
    </xf>
    <xf numFmtId="14" fontId="21" fillId="0" borderId="6" xfId="0" applyNumberFormat="1" applyFont="1" applyBorder="1" applyAlignment="1">
      <alignment horizontal="center" vertical="center" wrapText="1"/>
    </xf>
    <xf numFmtId="14" fontId="21" fillId="0" borderId="6" xfId="0" applyNumberFormat="1" applyFont="1" applyFill="1" applyBorder="1" applyAlignment="1">
      <alignment horizontal="center" vertical="center"/>
    </xf>
    <xf numFmtId="0" fontId="21" fillId="0" borderId="6" xfId="0" quotePrefix="1" applyFont="1" applyBorder="1" applyAlignment="1">
      <alignment horizontal="center" vertical="center" wrapText="1"/>
    </xf>
    <xf numFmtId="0" fontId="21" fillId="0" borderId="6" xfId="0" applyFont="1" applyBorder="1" applyAlignment="1">
      <alignment horizontal="center" vertical="center"/>
    </xf>
    <xf numFmtId="0" fontId="21" fillId="0" borderId="6" xfId="0" applyFont="1" applyBorder="1"/>
    <xf numFmtId="0" fontId="21" fillId="0" borderId="0" xfId="0" applyFont="1"/>
    <xf numFmtId="0" fontId="21" fillId="0" borderId="6" xfId="0" applyFont="1" applyBorder="1" applyAlignment="1">
      <alignment vertical="center" wrapText="1"/>
    </xf>
    <xf numFmtId="0" fontId="21" fillId="0" borderId="13" xfId="0" applyFont="1" applyBorder="1" applyAlignment="1">
      <alignment horizontal="center" vertical="center"/>
    </xf>
    <xf numFmtId="0" fontId="21" fillId="0" borderId="6" xfId="0" applyFont="1" applyFill="1" applyBorder="1" applyAlignment="1">
      <alignment vertical="center"/>
    </xf>
    <xf numFmtId="0" fontId="21" fillId="0" borderId="6" xfId="0" quotePrefix="1" applyFont="1" applyFill="1" applyBorder="1" applyAlignment="1">
      <alignment horizontal="center" vertical="center"/>
    </xf>
    <xf numFmtId="0" fontId="12" fillId="0" borderId="2" xfId="0" applyFont="1" applyBorder="1"/>
    <xf numFmtId="14" fontId="12" fillId="0" borderId="6" xfId="0" applyNumberFormat="1" applyFont="1" applyFill="1" applyBorder="1" applyAlignment="1">
      <alignment horizontal="center" vertical="center" wrapText="1"/>
    </xf>
    <xf numFmtId="0" fontId="12" fillId="0" borderId="6" xfId="0" quotePrefix="1" applyFont="1" applyBorder="1" applyAlignment="1">
      <alignment horizontal="center" vertical="center" wrapText="1"/>
    </xf>
    <xf numFmtId="0" fontId="12" fillId="0" borderId="6" xfId="0" applyFont="1" applyFill="1" applyBorder="1" applyAlignment="1">
      <alignment horizontal="center" vertical="center" wrapText="1"/>
    </xf>
    <xf numFmtId="0" fontId="12" fillId="0" borderId="6" xfId="0" applyFont="1" applyFill="1" applyBorder="1"/>
    <xf numFmtId="0" fontId="12" fillId="0" borderId="0" xfId="0" applyFont="1" applyFill="1"/>
    <xf numFmtId="14" fontId="12" fillId="0" borderId="6" xfId="0" applyNumberFormat="1" applyFont="1" applyBorder="1" applyAlignment="1">
      <alignment horizontal="center" vertical="center"/>
    </xf>
    <xf numFmtId="0" fontId="21" fillId="0" borderId="6" xfId="0" applyFont="1" applyFill="1" applyBorder="1"/>
    <xf numFmtId="0" fontId="21" fillId="0" borderId="6" xfId="0" applyFont="1" applyFill="1" applyBorder="1" applyAlignment="1">
      <alignment wrapText="1"/>
    </xf>
    <xf numFmtId="14" fontId="21" fillId="0" borderId="6" xfId="0" applyNumberFormat="1" applyFont="1" applyBorder="1" applyAlignment="1">
      <alignment horizontal="center" vertical="center"/>
    </xf>
    <xf numFmtId="0" fontId="15" fillId="0" borderId="6" xfId="0" applyFont="1" applyBorder="1" applyAlignment="1">
      <alignment horizontal="center" vertical="center"/>
    </xf>
    <xf numFmtId="0" fontId="15" fillId="0" borderId="6" xfId="0" applyFont="1" applyBorder="1" applyAlignment="1">
      <alignment horizontal="center" vertical="center" wrapText="1"/>
    </xf>
    <xf numFmtId="0" fontId="14" fillId="0" borderId="0" xfId="0" applyFont="1" applyAlignment="1">
      <alignment horizontal="center"/>
    </xf>
    <xf numFmtId="0" fontId="12" fillId="0" borderId="0" xfId="0" applyFont="1" applyBorder="1" applyAlignment="1">
      <alignment horizontal="left" vertical="center"/>
    </xf>
    <xf numFmtId="0" fontId="5" fillId="0" borderId="0" xfId="0" applyFont="1" applyAlignment="1">
      <alignment horizontal="center"/>
    </xf>
    <xf numFmtId="0" fontId="4" fillId="0" borderId="0" xfId="0" applyFont="1" applyAlignment="1">
      <alignment horizontal="center"/>
    </xf>
    <xf numFmtId="0" fontId="12" fillId="0" borderId="0" xfId="0" applyFont="1" applyAlignment="1">
      <alignment horizontal="center" wrapText="1"/>
    </xf>
    <xf numFmtId="0" fontId="14" fillId="0" borderId="0" xfId="0" applyFont="1" applyAlignment="1">
      <alignment horizontal="center"/>
    </xf>
    <xf numFmtId="0" fontId="15" fillId="0" borderId="0" xfId="0" applyFont="1" applyAlignment="1">
      <alignment horizontal="center" vertical="top" wrapText="1"/>
    </xf>
    <xf numFmtId="0" fontId="10" fillId="0" borderId="0" xfId="0" applyFont="1" applyAlignment="1">
      <alignment horizontal="center" wrapText="1"/>
    </xf>
    <xf numFmtId="0" fontId="10" fillId="0" borderId="0" xfId="0" applyFont="1" applyAlignment="1">
      <alignment horizontal="center"/>
    </xf>
    <xf numFmtId="0" fontId="4" fillId="0" borderId="0" xfId="0" applyFont="1" applyAlignment="1">
      <alignment horizontal="center" wrapText="1"/>
    </xf>
    <xf numFmtId="0" fontId="6" fillId="0" borderId="0" xfId="0" applyFont="1" applyAlignment="1">
      <alignment horizontal="center" wrapText="1"/>
    </xf>
    <xf numFmtId="0" fontId="8" fillId="0" borderId="0" xfId="0" applyFont="1" applyAlignment="1">
      <alignment horizontal="center"/>
    </xf>
    <xf numFmtId="0" fontId="9" fillId="0" borderId="0" xfId="0" applyFont="1" applyAlignment="1">
      <alignment horizontal="center" vertical="top" wrapText="1"/>
    </xf>
    <xf numFmtId="0" fontId="3" fillId="0" borderId="0" xfId="0" applyFont="1" applyAlignment="1">
      <alignment horizontal="center" vertical="center" wrapText="1"/>
    </xf>
    <xf numFmtId="0" fontId="3" fillId="0" borderId="1" xfId="0" applyFont="1" applyBorder="1" applyAlignment="1">
      <alignment horizont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1504950</xdr:colOff>
      <xdr:row>1</xdr:row>
      <xdr:rowOff>238125</xdr:rowOff>
    </xdr:from>
    <xdr:to>
      <xdr:col>5</xdr:col>
      <xdr:colOff>95250</xdr:colOff>
      <xdr:row>1</xdr:row>
      <xdr:rowOff>238125</xdr:rowOff>
    </xdr:to>
    <xdr:cxnSp macro="">
      <xdr:nvCxnSpPr>
        <xdr:cNvPr id="3" name="Straight Connector 2"/>
        <xdr:cNvCxnSpPr/>
      </xdr:nvCxnSpPr>
      <xdr:spPr>
        <a:xfrm>
          <a:off x="1905000" y="533400"/>
          <a:ext cx="22002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1962150</xdr:colOff>
      <xdr:row>1</xdr:row>
      <xdr:rowOff>219075</xdr:rowOff>
    </xdr:from>
    <xdr:to>
      <xdr:col>2</xdr:col>
      <xdr:colOff>257175</xdr:colOff>
      <xdr:row>1</xdr:row>
      <xdr:rowOff>219075</xdr:rowOff>
    </xdr:to>
    <xdr:cxnSp macro="">
      <xdr:nvCxnSpPr>
        <xdr:cNvPr id="2" name="Straight Connector 1"/>
        <xdr:cNvCxnSpPr/>
      </xdr:nvCxnSpPr>
      <xdr:spPr>
        <a:xfrm>
          <a:off x="2362200" y="514350"/>
          <a:ext cx="3429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1504950</xdr:colOff>
      <xdr:row>1</xdr:row>
      <xdr:rowOff>238125</xdr:rowOff>
    </xdr:from>
    <xdr:to>
      <xdr:col>5</xdr:col>
      <xdr:colOff>95250</xdr:colOff>
      <xdr:row>1</xdr:row>
      <xdr:rowOff>238125</xdr:rowOff>
    </xdr:to>
    <xdr:cxnSp macro="">
      <xdr:nvCxnSpPr>
        <xdr:cNvPr id="2" name="Straight Connector 1"/>
        <xdr:cNvCxnSpPr/>
      </xdr:nvCxnSpPr>
      <xdr:spPr>
        <a:xfrm>
          <a:off x="1905000" y="533400"/>
          <a:ext cx="22002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1504950</xdr:colOff>
      <xdr:row>1</xdr:row>
      <xdr:rowOff>238125</xdr:rowOff>
    </xdr:from>
    <xdr:to>
      <xdr:col>5</xdr:col>
      <xdr:colOff>95250</xdr:colOff>
      <xdr:row>1</xdr:row>
      <xdr:rowOff>238125</xdr:rowOff>
    </xdr:to>
    <xdr:cxnSp macro="">
      <xdr:nvCxnSpPr>
        <xdr:cNvPr id="2" name="Straight Connector 1"/>
        <xdr:cNvCxnSpPr/>
      </xdr:nvCxnSpPr>
      <xdr:spPr>
        <a:xfrm>
          <a:off x="1905000" y="533400"/>
          <a:ext cx="22002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323850</xdr:colOff>
      <xdr:row>1</xdr:row>
      <xdr:rowOff>238125</xdr:rowOff>
    </xdr:from>
    <xdr:to>
      <xdr:col>4</xdr:col>
      <xdr:colOff>476250</xdr:colOff>
      <xdr:row>1</xdr:row>
      <xdr:rowOff>238125</xdr:rowOff>
    </xdr:to>
    <xdr:cxnSp macro="">
      <xdr:nvCxnSpPr>
        <xdr:cNvPr id="2" name="Straight Connector 1"/>
        <xdr:cNvCxnSpPr/>
      </xdr:nvCxnSpPr>
      <xdr:spPr>
        <a:xfrm>
          <a:off x="2276475" y="533400"/>
          <a:ext cx="16192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723900</xdr:colOff>
      <xdr:row>1</xdr:row>
      <xdr:rowOff>238125</xdr:rowOff>
    </xdr:from>
    <xdr:to>
      <xdr:col>2</xdr:col>
      <xdr:colOff>190500</xdr:colOff>
      <xdr:row>1</xdr:row>
      <xdr:rowOff>238125</xdr:rowOff>
    </xdr:to>
    <xdr:cxnSp macro="">
      <xdr:nvCxnSpPr>
        <xdr:cNvPr id="2" name="Straight Connector 1"/>
        <xdr:cNvCxnSpPr/>
      </xdr:nvCxnSpPr>
      <xdr:spPr>
        <a:xfrm>
          <a:off x="1123950" y="533400"/>
          <a:ext cx="10191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AppData\Local\Temp\Zalo%20Temp\TempDownloads\Danh_sach_giao_vie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efreshError="1">
        <row r="7">
          <cell r="C7" t="str">
            <v>Đỗ Thị Mai Anh</v>
          </cell>
          <cell r="D7" t="str">
            <v>16/02/1999</v>
          </cell>
          <cell r="E7" t="str">
            <v>Nữ</v>
          </cell>
          <cell r="F7" t="str">
            <v>Đang làm việc</v>
          </cell>
          <cell r="G7" t="str">
            <v>Kinh</v>
          </cell>
          <cell r="H7" t="str">
            <v>0973229929</v>
          </cell>
        </row>
        <row r="8">
          <cell r="C8" t="str">
            <v>Bùi Thị Ngọc Ánh</v>
          </cell>
          <cell r="D8" t="str">
            <v>29/12/1999</v>
          </cell>
          <cell r="E8" t="str">
            <v>Nữ</v>
          </cell>
          <cell r="F8" t="str">
            <v>Đang làm việc</v>
          </cell>
          <cell r="G8" t="str">
            <v>Kinh</v>
          </cell>
          <cell r="H8" t="str">
            <v>0987298681</v>
          </cell>
        </row>
        <row r="9">
          <cell r="C9" t="str">
            <v>Phạm Thị Ngọc Ánh</v>
          </cell>
          <cell r="D9" t="str">
            <v>03/10/1995</v>
          </cell>
          <cell r="E9" t="str">
            <v>Nữ</v>
          </cell>
          <cell r="F9" t="str">
            <v>Đang làm việc</v>
          </cell>
          <cell r="G9" t="str">
            <v>Kinh</v>
          </cell>
          <cell r="H9" t="str">
            <v>0964620359</v>
          </cell>
        </row>
        <row r="10">
          <cell r="C10" t="str">
            <v>Hoàng Minh Chiên</v>
          </cell>
          <cell r="D10" t="str">
            <v>07/11/1988</v>
          </cell>
          <cell r="E10" t="str">
            <v>Nữ</v>
          </cell>
          <cell r="F10" t="str">
            <v>Đang làm việc</v>
          </cell>
          <cell r="G10" t="str">
            <v>Kinh</v>
          </cell>
          <cell r="H10" t="str">
            <v>0904744955</v>
          </cell>
        </row>
        <row r="11">
          <cell r="C11" t="str">
            <v>Nguyễn Thị Kiều Chinh</v>
          </cell>
          <cell r="D11" t="str">
            <v>06/12/1998</v>
          </cell>
          <cell r="E11" t="str">
            <v>Nữ</v>
          </cell>
          <cell r="F11" t="str">
            <v>Đang làm việc</v>
          </cell>
          <cell r="G11" t="str">
            <v>Kinh</v>
          </cell>
          <cell r="H11" t="str">
            <v>0934574783</v>
          </cell>
        </row>
        <row r="12">
          <cell r="C12" t="str">
            <v>Nguyễn Thị Dung</v>
          </cell>
          <cell r="D12" t="str">
            <v>17/06/1996</v>
          </cell>
          <cell r="E12" t="str">
            <v>Nữ</v>
          </cell>
          <cell r="F12" t="str">
            <v>Đang làm việc</v>
          </cell>
          <cell r="G12" t="str">
            <v>Kinh</v>
          </cell>
          <cell r="H12" t="str">
            <v>0976791554</v>
          </cell>
        </row>
        <row r="13">
          <cell r="C13" t="str">
            <v>Nguyễn Thị Hảo</v>
          </cell>
          <cell r="D13" t="str">
            <v>06/02/1997</v>
          </cell>
          <cell r="E13" t="str">
            <v>Nữ</v>
          </cell>
          <cell r="F13" t="str">
            <v>Đang làm việc</v>
          </cell>
          <cell r="G13" t="str">
            <v>Kinh</v>
          </cell>
          <cell r="H13" t="str">
            <v>0981937572</v>
          </cell>
        </row>
        <row r="14">
          <cell r="C14" t="str">
            <v>Nguyễn Thị Hiên</v>
          </cell>
          <cell r="D14" t="str">
            <v>20/03/1972</v>
          </cell>
          <cell r="E14" t="str">
            <v>Nữ</v>
          </cell>
          <cell r="F14" t="str">
            <v>Đang làm việc</v>
          </cell>
          <cell r="G14" t="str">
            <v>Kinh</v>
          </cell>
          <cell r="H14" t="str">
            <v>0974010508</v>
          </cell>
        </row>
        <row r="15">
          <cell r="C15" t="str">
            <v>Phạm Ngọc Hiệp</v>
          </cell>
          <cell r="D15" t="str">
            <v>13/11/1997</v>
          </cell>
          <cell r="E15" t="str">
            <v>Nữ</v>
          </cell>
          <cell r="F15" t="str">
            <v>Đang làm việc</v>
          </cell>
          <cell r="G15" t="str">
            <v>Kinh</v>
          </cell>
          <cell r="H15" t="str">
            <v>0988586273</v>
          </cell>
        </row>
        <row r="16">
          <cell r="C16" t="str">
            <v>Nguyễn Thị Bích Huệ</v>
          </cell>
          <cell r="D16" t="str">
            <v>18/11/2001</v>
          </cell>
          <cell r="E16" t="str">
            <v>Nữ</v>
          </cell>
          <cell r="F16" t="str">
            <v>Đang làm việc</v>
          </cell>
          <cell r="G16" t="str">
            <v>Kinh</v>
          </cell>
          <cell r="H16" t="str">
            <v>0812124766</v>
          </cell>
        </row>
        <row r="17">
          <cell r="C17" t="str">
            <v>Vũ Thị Bích Hường</v>
          </cell>
          <cell r="D17" t="str">
            <v>10/11/1974</v>
          </cell>
          <cell r="E17" t="str">
            <v>Nữ</v>
          </cell>
          <cell r="F17" t="str">
            <v>Đang làm việc</v>
          </cell>
          <cell r="G17" t="str">
            <v>Kinh</v>
          </cell>
          <cell r="H17" t="str">
            <v>0982675989</v>
          </cell>
        </row>
        <row r="18">
          <cell r="C18" t="str">
            <v>Nguyễn Thị Thảo Huyền</v>
          </cell>
          <cell r="D18" t="str">
            <v>26/09/2000</v>
          </cell>
          <cell r="E18" t="str">
            <v>Nữ</v>
          </cell>
          <cell r="F18" t="str">
            <v>Đang làm việc</v>
          </cell>
          <cell r="G18" t="str">
            <v>Kinh</v>
          </cell>
          <cell r="H18" t="str">
            <v>0338015869</v>
          </cell>
        </row>
        <row r="19">
          <cell r="C19" t="str">
            <v>Nguyễn Thị Thu Huyền</v>
          </cell>
          <cell r="D19" t="str">
            <v>13/11/1980</v>
          </cell>
          <cell r="E19" t="str">
            <v>Nữ</v>
          </cell>
          <cell r="F19" t="str">
            <v>Đang làm việc</v>
          </cell>
          <cell r="G19" t="str">
            <v>Kinh</v>
          </cell>
          <cell r="H19" t="str">
            <v>0976364966</v>
          </cell>
        </row>
        <row r="20">
          <cell r="C20" t="str">
            <v>Hoàng Thị Lan</v>
          </cell>
          <cell r="D20" t="str">
            <v>30/05/1976</v>
          </cell>
          <cell r="E20" t="str">
            <v>Nữ</v>
          </cell>
          <cell r="F20" t="str">
            <v>Đang làm việc</v>
          </cell>
          <cell r="G20" t="str">
            <v>Kinh</v>
          </cell>
          <cell r="H20" t="str">
            <v>0912424126</v>
          </cell>
        </row>
        <row r="21">
          <cell r="C21" t="str">
            <v>Lê Ngọc Linh</v>
          </cell>
          <cell r="D21" t="str">
            <v>02/06/2000</v>
          </cell>
          <cell r="E21" t="str">
            <v>Nữ</v>
          </cell>
          <cell r="F21" t="str">
            <v>Đang làm việc</v>
          </cell>
          <cell r="G21" t="str">
            <v>Kinh</v>
          </cell>
          <cell r="H21" t="str">
            <v>0329368788</v>
          </cell>
        </row>
        <row r="22">
          <cell r="C22" t="str">
            <v>Lê Thị Thuỳ Linh</v>
          </cell>
          <cell r="D22" t="str">
            <v>09/10/2002</v>
          </cell>
          <cell r="E22" t="str">
            <v>Nữ</v>
          </cell>
          <cell r="F22" t="str">
            <v>Đang làm việc</v>
          </cell>
          <cell r="G22" t="str">
            <v>Kinh</v>
          </cell>
          <cell r="H22" t="str">
            <v>0394873358</v>
          </cell>
        </row>
        <row r="23">
          <cell r="C23" t="str">
            <v>Bùi Thị Luận</v>
          </cell>
          <cell r="D23" t="str">
            <v>27/01/1991</v>
          </cell>
          <cell r="E23" t="str">
            <v>Nữ</v>
          </cell>
          <cell r="F23" t="str">
            <v>Đang làm việc</v>
          </cell>
          <cell r="G23" t="str">
            <v>Mường</v>
          </cell>
          <cell r="H23" t="str">
            <v>0397930486</v>
          </cell>
        </row>
        <row r="24">
          <cell r="C24" t="str">
            <v>Lê Xuân Lưu</v>
          </cell>
          <cell r="D24" t="str">
            <v>25/06/1971</v>
          </cell>
          <cell r="E24" t="str">
            <v>Nam</v>
          </cell>
          <cell r="F24" t="str">
            <v>Đang làm việc</v>
          </cell>
          <cell r="G24" t="str">
            <v>Kinh</v>
          </cell>
          <cell r="H24" t="str">
            <v>0936085945</v>
          </cell>
        </row>
        <row r="25">
          <cell r="C25" t="str">
            <v>Lê Thị Mai</v>
          </cell>
          <cell r="D25" t="str">
            <v>29/09/1989</v>
          </cell>
          <cell r="E25" t="str">
            <v>Nữ</v>
          </cell>
          <cell r="F25" t="str">
            <v>Đang làm việc</v>
          </cell>
          <cell r="G25" t="str">
            <v>Kinh</v>
          </cell>
          <cell r="H25" t="str">
            <v>0984784033</v>
          </cell>
        </row>
        <row r="26">
          <cell r="C26" t="str">
            <v>Trương Minh Ngọc</v>
          </cell>
          <cell r="D26" t="str">
            <v>06/01/2001</v>
          </cell>
          <cell r="E26" t="str">
            <v>Nữ</v>
          </cell>
          <cell r="F26" t="str">
            <v>Đang làm việc</v>
          </cell>
          <cell r="G26" t="str">
            <v>Kinh</v>
          </cell>
          <cell r="H26" t="str">
            <v>0336419188</v>
          </cell>
        </row>
        <row r="27">
          <cell r="C27" t="str">
            <v>Nguyễn Thanh Nhàn</v>
          </cell>
          <cell r="D27" t="str">
            <v>06/10/1992</v>
          </cell>
          <cell r="E27" t="str">
            <v>Nữ</v>
          </cell>
          <cell r="F27" t="str">
            <v>Đang làm việc</v>
          </cell>
          <cell r="G27" t="str">
            <v>Kinh</v>
          </cell>
          <cell r="H27" t="str">
            <v>0392921841</v>
          </cell>
        </row>
        <row r="28">
          <cell r="C28" t="str">
            <v>Đỗ Thị Hồng Nhung</v>
          </cell>
          <cell r="D28" t="str">
            <v>15/03/1999</v>
          </cell>
          <cell r="E28" t="str">
            <v>Nữ</v>
          </cell>
          <cell r="F28" t="str">
            <v>Đang làm việc</v>
          </cell>
          <cell r="G28" t="str">
            <v>Kinh</v>
          </cell>
          <cell r="H28" t="str">
            <v>0965927709</v>
          </cell>
        </row>
        <row r="29">
          <cell r="C29" t="str">
            <v>Phạm Thị Hồng Nhung</v>
          </cell>
          <cell r="D29" t="str">
            <v>04/02/2002</v>
          </cell>
          <cell r="E29" t="str">
            <v>Nữ</v>
          </cell>
          <cell r="F29" t="str">
            <v>Đang làm việc</v>
          </cell>
          <cell r="G29" t="str">
            <v>Kinh</v>
          </cell>
          <cell r="H29" t="str">
            <v>0972021931</v>
          </cell>
        </row>
        <row r="30">
          <cell r="C30" t="str">
            <v>Đỗ Thị Minh Phượng</v>
          </cell>
          <cell r="D30" t="str">
            <v>11/06/1993</v>
          </cell>
          <cell r="E30" t="str">
            <v>Nữ</v>
          </cell>
          <cell r="F30" t="str">
            <v>Đang làm việc</v>
          </cell>
          <cell r="G30" t="str">
            <v>Kinh</v>
          </cell>
          <cell r="H30" t="str">
            <v>0977316173</v>
          </cell>
        </row>
        <row r="31">
          <cell r="C31" t="str">
            <v>Nguyễn Thị Phượng</v>
          </cell>
          <cell r="D31" t="str">
            <v>07/07/1969</v>
          </cell>
          <cell r="E31" t="str">
            <v>Nữ</v>
          </cell>
          <cell r="F31" t="str">
            <v>Đang làm việc</v>
          </cell>
          <cell r="G31" t="str">
            <v>Kinh</v>
          </cell>
          <cell r="H31" t="str">
            <v>0386122007</v>
          </cell>
        </row>
        <row r="32">
          <cell r="C32" t="str">
            <v>Hoàng Thị Thu Thảo</v>
          </cell>
          <cell r="D32" t="str">
            <v>02/05/2002</v>
          </cell>
          <cell r="E32" t="str">
            <v>Nữ</v>
          </cell>
          <cell r="F32" t="str">
            <v>Đang làm việc</v>
          </cell>
          <cell r="G32" t="str">
            <v>Kinh</v>
          </cell>
          <cell r="H32" t="str">
            <v>0357738030</v>
          </cell>
        </row>
        <row r="33">
          <cell r="C33" t="str">
            <v>Nguyễn Hương Thảo</v>
          </cell>
          <cell r="D33" t="str">
            <v>12/08/1992</v>
          </cell>
          <cell r="E33" t="str">
            <v>Nữ</v>
          </cell>
          <cell r="F33" t="str">
            <v>Đang làm việc</v>
          </cell>
          <cell r="G33" t="str">
            <v>Kinh</v>
          </cell>
          <cell r="H33" t="str">
            <v>0399835092</v>
          </cell>
        </row>
        <row r="34">
          <cell r="C34" t="str">
            <v>Nguyễn Thị Hoa Thơm</v>
          </cell>
          <cell r="D34" t="str">
            <v>16/11/1976</v>
          </cell>
          <cell r="E34" t="str">
            <v>Nữ</v>
          </cell>
          <cell r="F34" t="str">
            <v>Đang làm việc</v>
          </cell>
          <cell r="G34" t="str">
            <v>Kinh</v>
          </cell>
          <cell r="H34" t="str">
            <v>0387032532</v>
          </cell>
        </row>
        <row r="35">
          <cell r="C35" t="str">
            <v>Đỗ Thị Bích Thủy</v>
          </cell>
          <cell r="D35" t="str">
            <v>07/06/1972</v>
          </cell>
          <cell r="E35" t="str">
            <v>Nữ</v>
          </cell>
          <cell r="F35" t="str">
            <v>Đang làm việc</v>
          </cell>
          <cell r="G35" t="str">
            <v>Kinh</v>
          </cell>
          <cell r="H35" t="str">
            <v>0902299122</v>
          </cell>
        </row>
        <row r="36">
          <cell r="C36" t="str">
            <v>Lương Thị Thanh Trà</v>
          </cell>
          <cell r="D36" t="str">
            <v>25/10/1974</v>
          </cell>
          <cell r="E36" t="str">
            <v>Nữ</v>
          </cell>
          <cell r="F36" t="str">
            <v>Đang làm việc</v>
          </cell>
          <cell r="G36" t="str">
            <v>Kinh</v>
          </cell>
          <cell r="H36" t="str">
            <v>0984039736</v>
          </cell>
        </row>
        <row r="37">
          <cell r="C37" t="str">
            <v>Nguyễn Thị Huyền Trang</v>
          </cell>
          <cell r="D37" t="str">
            <v>22/03/1995</v>
          </cell>
          <cell r="E37" t="str">
            <v>Nữ</v>
          </cell>
          <cell r="F37" t="str">
            <v>Đang làm việc</v>
          </cell>
          <cell r="G37" t="str">
            <v>Kinh</v>
          </cell>
          <cell r="H37" t="str">
            <v>0399798541</v>
          </cell>
        </row>
        <row r="38">
          <cell r="C38" t="str">
            <v>Nguyễn Thùy Trang</v>
          </cell>
          <cell r="D38" t="str">
            <v>19/10/1997</v>
          </cell>
          <cell r="E38" t="str">
            <v>Nữ</v>
          </cell>
          <cell r="F38" t="str">
            <v>Đang làm việc</v>
          </cell>
          <cell r="G38" t="str">
            <v>Kinh</v>
          </cell>
          <cell r="H38" t="str">
            <v>0868928697</v>
          </cell>
        </row>
        <row r="39">
          <cell r="C39" t="str">
            <v>Bùi Thị Tuyết Trinh</v>
          </cell>
          <cell r="D39" t="str">
            <v>06/08/1986</v>
          </cell>
          <cell r="E39" t="str">
            <v>Nữ</v>
          </cell>
          <cell r="F39" t="str">
            <v>Đang làm việc</v>
          </cell>
          <cell r="G39" t="str">
            <v>Kinh</v>
          </cell>
          <cell r="H39" t="str">
            <v>0988307119</v>
          </cell>
        </row>
        <row r="40">
          <cell r="C40" t="str">
            <v>Doãn Thị Thanh Xuân</v>
          </cell>
          <cell r="D40" t="str">
            <v>02/01/1975</v>
          </cell>
          <cell r="E40" t="str">
            <v>Nữ</v>
          </cell>
          <cell r="F40" t="str">
            <v>Đang làm việc</v>
          </cell>
          <cell r="G40" t="str">
            <v>Kinh</v>
          </cell>
          <cell r="H40" t="str">
            <v>0948538696</v>
          </cell>
        </row>
        <row r="41">
          <cell r="C41" t="str">
            <v>Nguyễn Thị Thanh Xuân</v>
          </cell>
          <cell r="D41" t="str">
            <v>27/11/1981</v>
          </cell>
          <cell r="E41" t="str">
            <v>Nữ</v>
          </cell>
          <cell r="F41" t="str">
            <v>Đang làm việc</v>
          </cell>
          <cell r="G41" t="str">
            <v>Kinh</v>
          </cell>
          <cell r="H41" t="str">
            <v>0988884451</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29"/>
  <sheetViews>
    <sheetView topLeftCell="A112" workbookViewId="0">
      <selection activeCell="G85" sqref="G85"/>
    </sheetView>
  </sheetViews>
  <sheetFormatPr defaultColWidth="9.33203125" defaultRowHeight="20.25" customHeight="1"/>
  <cols>
    <col min="1" max="1" width="7" style="15" customWidth="1"/>
    <col min="2" max="2" width="27.1640625" style="14" customWidth="1"/>
    <col min="3" max="3" width="15.33203125" style="14" customWidth="1"/>
    <col min="4" max="4" width="7.5" style="14" customWidth="1"/>
    <col min="5" max="5" width="10.33203125" style="14" customWidth="1"/>
    <col min="6" max="6" width="6.83203125" style="14" customWidth="1"/>
    <col min="7" max="7" width="15.33203125" style="15" customWidth="1"/>
    <col min="8" max="10" width="10.1640625" style="15" customWidth="1"/>
    <col min="11" max="11" width="11.5" style="15" customWidth="1"/>
    <col min="12" max="12" width="22.33203125" style="15" customWidth="1"/>
    <col min="13" max="13" width="43" style="14" customWidth="1"/>
    <col min="14" max="14" width="19.6640625" style="14" customWidth="1"/>
    <col min="15" max="15" width="8.5" style="14" customWidth="1"/>
    <col min="16" max="16" width="26.83203125" style="14" customWidth="1"/>
    <col min="17" max="17" width="11.33203125" style="14" customWidth="1"/>
    <col min="18" max="16384" width="9.33203125" style="14"/>
  </cols>
  <sheetData>
    <row r="1" spans="1:16" ht="23.25" customHeight="1">
      <c r="A1" s="185" t="s">
        <v>0</v>
      </c>
      <c r="B1" s="185"/>
      <c r="C1" s="185"/>
      <c r="D1" s="185"/>
      <c r="E1" s="185"/>
      <c r="F1" s="185"/>
      <c r="G1" s="185"/>
      <c r="H1" s="185"/>
      <c r="I1" s="47"/>
      <c r="J1" s="47"/>
      <c r="K1" s="48"/>
      <c r="L1" s="186"/>
      <c r="M1" s="186"/>
      <c r="N1" s="49"/>
    </row>
    <row r="2" spans="1:16" ht="27.75" customHeight="1">
      <c r="A2" s="187" t="s">
        <v>1</v>
      </c>
      <c r="B2" s="187"/>
      <c r="C2" s="187"/>
      <c r="D2" s="187"/>
      <c r="E2" s="187"/>
      <c r="F2" s="187"/>
      <c r="G2" s="187"/>
      <c r="H2" s="187"/>
      <c r="I2" s="50"/>
      <c r="J2" s="50"/>
      <c r="K2" s="48"/>
      <c r="L2" s="49"/>
      <c r="M2" s="49"/>
      <c r="N2" s="49"/>
    </row>
    <row r="3" spans="1:16" ht="28.5" customHeight="1">
      <c r="A3" s="188" t="s">
        <v>2</v>
      </c>
      <c r="B3" s="188"/>
      <c r="C3" s="188"/>
      <c r="D3" s="188"/>
      <c r="E3" s="188"/>
      <c r="F3" s="188"/>
      <c r="G3" s="188"/>
      <c r="H3" s="188"/>
      <c r="I3" s="188"/>
      <c r="J3" s="188"/>
      <c r="K3" s="188"/>
      <c r="L3" s="188"/>
      <c r="M3" s="188"/>
      <c r="N3" s="188"/>
      <c r="O3" s="188"/>
    </row>
    <row r="4" spans="1:16" ht="24.75" customHeight="1">
      <c r="A4" s="189" t="s">
        <v>3</v>
      </c>
      <c r="B4" s="189"/>
      <c r="C4" s="189"/>
      <c r="D4" s="189"/>
      <c r="E4" s="189"/>
      <c r="F4" s="189"/>
      <c r="G4" s="189"/>
      <c r="H4" s="189"/>
      <c r="I4" s="189"/>
      <c r="J4" s="189"/>
      <c r="K4" s="189"/>
      <c r="L4" s="189"/>
      <c r="M4" s="189"/>
      <c r="N4" s="189"/>
      <c r="O4" s="189"/>
    </row>
    <row r="5" spans="1:16" ht="11.25" customHeight="1">
      <c r="A5" s="19"/>
      <c r="B5" s="19"/>
      <c r="C5" s="19"/>
      <c r="D5" s="19"/>
      <c r="E5" s="19"/>
      <c r="F5" s="19"/>
      <c r="G5" s="19"/>
      <c r="H5" s="19"/>
      <c r="I5" s="19"/>
      <c r="J5" s="19"/>
      <c r="K5" s="19"/>
      <c r="L5" s="19"/>
      <c r="M5" s="19"/>
      <c r="N5" s="19"/>
      <c r="O5" s="19"/>
    </row>
    <row r="6" spans="1:16" s="13" customFormat="1" ht="64.5" customHeight="1">
      <c r="A6" s="51" t="s">
        <v>4</v>
      </c>
      <c r="B6" s="51" t="s">
        <v>5</v>
      </c>
      <c r="C6" s="20" t="s">
        <v>6</v>
      </c>
      <c r="D6" s="20" t="s">
        <v>7</v>
      </c>
      <c r="E6" s="20" t="s">
        <v>8</v>
      </c>
      <c r="F6" s="20" t="s">
        <v>9</v>
      </c>
      <c r="G6" s="20" t="s">
        <v>10</v>
      </c>
      <c r="H6" s="20" t="s">
        <v>11</v>
      </c>
      <c r="I6" s="20" t="s">
        <v>12</v>
      </c>
      <c r="J6" s="20" t="s">
        <v>13</v>
      </c>
      <c r="K6" s="20" t="s">
        <v>14</v>
      </c>
      <c r="L6" s="20" t="s">
        <v>15</v>
      </c>
      <c r="M6" s="20" t="s">
        <v>16</v>
      </c>
      <c r="N6" s="20" t="s">
        <v>17</v>
      </c>
      <c r="O6" s="51" t="s">
        <v>18</v>
      </c>
    </row>
    <row r="7" spans="1:16" s="13" customFormat="1" ht="95.25" customHeight="1">
      <c r="A7" s="21">
        <v>1</v>
      </c>
      <c r="B7" s="22" t="s">
        <v>19</v>
      </c>
      <c r="C7" s="23">
        <v>30212</v>
      </c>
      <c r="D7" s="23" t="s">
        <v>20</v>
      </c>
      <c r="E7" s="23" t="s">
        <v>21</v>
      </c>
      <c r="F7" s="52">
        <f ca="1">YEARFRAC(C7,TODAY(),1)</f>
        <v>44.055427111219274</v>
      </c>
      <c r="G7" s="94" t="s">
        <v>22</v>
      </c>
      <c r="H7" s="24">
        <v>2007</v>
      </c>
      <c r="I7" s="24">
        <v>1</v>
      </c>
      <c r="J7" s="24" t="s">
        <v>23</v>
      </c>
      <c r="K7" s="24" t="s">
        <v>24</v>
      </c>
      <c r="L7" s="24" t="s">
        <v>25</v>
      </c>
      <c r="M7" s="25" t="s">
        <v>456</v>
      </c>
      <c r="N7" s="25"/>
      <c r="O7" s="26"/>
    </row>
    <row r="8" spans="1:16" ht="148.5" customHeight="1">
      <c r="A8" s="21">
        <v>2</v>
      </c>
      <c r="B8" s="22" t="s">
        <v>27</v>
      </c>
      <c r="C8" s="27">
        <v>28144</v>
      </c>
      <c r="D8" s="23" t="s">
        <v>20</v>
      </c>
      <c r="E8" s="23" t="s">
        <v>21</v>
      </c>
      <c r="F8" s="52">
        <f t="shared" ref="F8:F72" ca="1" si="0">YEARFRAC(C8,TODAY(),1)</f>
        <v>49.717993648012268</v>
      </c>
      <c r="G8" s="95" t="s">
        <v>28</v>
      </c>
      <c r="H8" s="24">
        <v>2000</v>
      </c>
      <c r="I8" s="24">
        <v>1</v>
      </c>
      <c r="J8" s="24" t="s">
        <v>23</v>
      </c>
      <c r="K8" s="24" t="s">
        <v>24</v>
      </c>
      <c r="L8" s="24" t="s">
        <v>29</v>
      </c>
      <c r="M8" s="25" t="s">
        <v>457</v>
      </c>
      <c r="N8" s="25"/>
      <c r="O8" s="28"/>
    </row>
    <row r="9" spans="1:16" ht="165.75" customHeight="1">
      <c r="A9" s="21">
        <v>3</v>
      </c>
      <c r="B9" s="29" t="s">
        <v>31</v>
      </c>
      <c r="C9" s="23">
        <v>34132</v>
      </c>
      <c r="D9" s="23" t="s">
        <v>20</v>
      </c>
      <c r="E9" s="23" t="s">
        <v>21</v>
      </c>
      <c r="F9" s="52">
        <f t="shared" ca="1" si="0"/>
        <v>33.323723626993072</v>
      </c>
      <c r="G9" s="94" t="s">
        <v>32</v>
      </c>
      <c r="H9" s="24">
        <v>2013</v>
      </c>
      <c r="I9" s="24">
        <v>1</v>
      </c>
      <c r="J9" s="24" t="s">
        <v>23</v>
      </c>
      <c r="K9" s="24" t="s">
        <v>24</v>
      </c>
      <c r="L9" s="24" t="s">
        <v>33</v>
      </c>
      <c r="M9" s="25" t="s">
        <v>458</v>
      </c>
      <c r="N9" s="25"/>
      <c r="O9" s="28"/>
    </row>
    <row r="10" spans="1:16" ht="60" customHeight="1">
      <c r="A10" s="21">
        <v>4</v>
      </c>
      <c r="B10" s="30" t="s">
        <v>446</v>
      </c>
      <c r="C10" s="23">
        <v>24102</v>
      </c>
      <c r="D10" s="23" t="s">
        <v>450</v>
      </c>
      <c r="E10" s="23" t="s">
        <v>21</v>
      </c>
      <c r="F10" s="52">
        <f ca="1">YEARFRAC(C10,TODAY(),1)</f>
        <v>60.784367410024288</v>
      </c>
      <c r="G10" s="94" t="s">
        <v>447</v>
      </c>
      <c r="H10" s="24">
        <v>1987</v>
      </c>
      <c r="I10" s="24">
        <v>1</v>
      </c>
      <c r="J10" s="24" t="s">
        <v>448</v>
      </c>
      <c r="K10" s="24" t="s">
        <v>37</v>
      </c>
      <c r="L10" s="24" t="s">
        <v>449</v>
      </c>
      <c r="M10" s="25" t="s">
        <v>459</v>
      </c>
      <c r="N10" s="25"/>
      <c r="O10" s="28"/>
    </row>
    <row r="11" spans="1:16" ht="37.5" customHeight="1">
      <c r="A11" s="21">
        <v>5</v>
      </c>
      <c r="B11" s="32" t="s">
        <v>35</v>
      </c>
      <c r="C11" s="23">
        <v>25697</v>
      </c>
      <c r="D11" s="23" t="s">
        <v>20</v>
      </c>
      <c r="E11" s="23" t="s">
        <v>21</v>
      </c>
      <c r="F11" s="52">
        <f t="shared" ca="1" si="0"/>
        <v>56.416830779576344</v>
      </c>
      <c r="G11" s="96" t="s">
        <v>36</v>
      </c>
      <c r="H11" s="24">
        <v>1991</v>
      </c>
      <c r="I11" s="24">
        <v>1</v>
      </c>
      <c r="J11" s="24"/>
      <c r="K11" s="24" t="s">
        <v>37</v>
      </c>
      <c r="L11" s="24" t="s">
        <v>38</v>
      </c>
      <c r="M11" s="25" t="s">
        <v>39</v>
      </c>
      <c r="N11" s="25" t="s">
        <v>40</v>
      </c>
      <c r="O11" s="28"/>
    </row>
    <row r="12" spans="1:16" ht="24.75" customHeight="1">
      <c r="A12" s="21">
        <v>6</v>
      </c>
      <c r="B12" s="32" t="s">
        <v>41</v>
      </c>
      <c r="C12" s="23">
        <v>33483</v>
      </c>
      <c r="D12" s="23" t="s">
        <v>20</v>
      </c>
      <c r="E12" s="23" t="s">
        <v>21</v>
      </c>
      <c r="F12" s="52">
        <f t="shared" ca="1" si="0"/>
        <v>35.09924709103354</v>
      </c>
      <c r="G12" s="96" t="s">
        <v>42</v>
      </c>
      <c r="H12" s="24">
        <v>2011</v>
      </c>
      <c r="I12" s="24"/>
      <c r="J12" s="24"/>
      <c r="K12" s="24" t="s">
        <v>37</v>
      </c>
      <c r="L12" s="24" t="s">
        <v>43</v>
      </c>
      <c r="M12" s="25" t="s">
        <v>44</v>
      </c>
      <c r="N12" s="25"/>
      <c r="O12" s="28"/>
    </row>
    <row r="13" spans="1:16" ht="24.75" customHeight="1">
      <c r="A13" s="21">
        <v>7</v>
      </c>
      <c r="B13" s="32" t="s">
        <v>45</v>
      </c>
      <c r="C13" s="23">
        <v>26644</v>
      </c>
      <c r="D13" s="23" t="s">
        <v>20</v>
      </c>
      <c r="E13" s="23" t="s">
        <v>21</v>
      </c>
      <c r="F13" s="52">
        <f t="shared" ca="1" si="0"/>
        <v>53.82273881228533</v>
      </c>
      <c r="G13" s="96" t="s">
        <v>46</v>
      </c>
      <c r="H13" s="24">
        <v>1991</v>
      </c>
      <c r="I13" s="24">
        <v>1</v>
      </c>
      <c r="J13" s="24"/>
      <c r="K13" s="24" t="s">
        <v>37</v>
      </c>
      <c r="L13" s="24" t="s">
        <v>43</v>
      </c>
      <c r="M13" s="25" t="s">
        <v>47</v>
      </c>
      <c r="N13" s="25"/>
      <c r="O13" s="28"/>
    </row>
    <row r="14" spans="1:16" ht="24.75" customHeight="1">
      <c r="A14" s="21">
        <v>8</v>
      </c>
      <c r="B14" s="32" t="s">
        <v>48</v>
      </c>
      <c r="C14" s="54">
        <v>34393</v>
      </c>
      <c r="D14" s="23" t="s">
        <v>20</v>
      </c>
      <c r="E14" s="23" t="s">
        <v>21</v>
      </c>
      <c r="F14" s="52">
        <f t="shared" ca="1" si="0"/>
        <v>32.608479216792496</v>
      </c>
      <c r="G14" s="96" t="s">
        <v>49</v>
      </c>
      <c r="H14" s="24">
        <v>2016</v>
      </c>
      <c r="I14" s="24"/>
      <c r="J14" s="24"/>
      <c r="K14" s="24" t="s">
        <v>37</v>
      </c>
      <c r="L14" s="24" t="s">
        <v>43</v>
      </c>
      <c r="M14" s="25" t="s">
        <v>50</v>
      </c>
      <c r="N14" s="25"/>
      <c r="O14" s="28"/>
    </row>
    <row r="15" spans="1:16" ht="24.75" customHeight="1">
      <c r="A15" s="21">
        <v>9</v>
      </c>
      <c r="B15" s="32" t="s">
        <v>51</v>
      </c>
      <c r="C15" s="94" t="s">
        <v>52</v>
      </c>
      <c r="D15" s="23" t="s">
        <v>20</v>
      </c>
      <c r="E15" s="23" t="s">
        <v>21</v>
      </c>
      <c r="F15" s="52">
        <f t="shared" ca="1" si="0"/>
        <v>32.589313863768353</v>
      </c>
      <c r="G15" s="96" t="s">
        <v>53</v>
      </c>
      <c r="H15" s="24">
        <v>2017</v>
      </c>
      <c r="I15" s="24">
        <v>1</v>
      </c>
      <c r="J15" s="24"/>
      <c r="K15" s="24" t="s">
        <v>37</v>
      </c>
      <c r="L15" s="24" t="s">
        <v>43</v>
      </c>
      <c r="M15" s="25" t="s">
        <v>54</v>
      </c>
      <c r="N15" s="25"/>
      <c r="O15" s="28"/>
      <c r="P15" s="14" t="s">
        <v>55</v>
      </c>
    </row>
    <row r="16" spans="1:16" ht="24.75" customHeight="1">
      <c r="A16" s="21">
        <v>10</v>
      </c>
      <c r="B16" s="32" t="s">
        <v>56</v>
      </c>
      <c r="C16" s="23">
        <v>27247</v>
      </c>
      <c r="D16" s="23" t="s">
        <v>20</v>
      </c>
      <c r="E16" s="23" t="s">
        <v>21</v>
      </c>
      <c r="F16" s="52">
        <f t="shared" ca="1" si="0"/>
        <v>52.173158384130588</v>
      </c>
      <c r="G16" s="96" t="s">
        <v>57</v>
      </c>
      <c r="H16" s="24">
        <v>1993</v>
      </c>
      <c r="I16" s="24">
        <v>1</v>
      </c>
      <c r="J16" s="24" t="s">
        <v>23</v>
      </c>
      <c r="K16" s="24" t="s">
        <v>37</v>
      </c>
      <c r="L16" s="24" t="s">
        <v>43</v>
      </c>
      <c r="M16" s="25" t="s">
        <v>58</v>
      </c>
      <c r="N16" s="25"/>
      <c r="O16" s="28"/>
    </row>
    <row r="17" spans="1:24" ht="24.75" customHeight="1">
      <c r="A17" s="21">
        <v>11</v>
      </c>
      <c r="B17" s="32" t="s">
        <v>59</v>
      </c>
      <c r="C17" s="23">
        <v>27147</v>
      </c>
      <c r="D17" s="23" t="s">
        <v>20</v>
      </c>
      <c r="E17" s="23" t="s">
        <v>21</v>
      </c>
      <c r="F17" s="52">
        <f t="shared" ca="1" si="0"/>
        <v>52.446946998656884</v>
      </c>
      <c r="G17" s="96" t="s">
        <v>60</v>
      </c>
      <c r="H17" s="24">
        <v>1996</v>
      </c>
      <c r="I17" s="24">
        <v>1</v>
      </c>
      <c r="J17" s="24"/>
      <c r="K17" s="24" t="s">
        <v>37</v>
      </c>
      <c r="L17" s="24" t="s">
        <v>43</v>
      </c>
      <c r="M17" s="25" t="s">
        <v>61</v>
      </c>
      <c r="N17" s="25"/>
      <c r="O17" s="24"/>
    </row>
    <row r="18" spans="1:24" ht="24.75" customHeight="1">
      <c r="A18" s="21">
        <v>12</v>
      </c>
      <c r="B18" s="55" t="s">
        <v>62</v>
      </c>
      <c r="C18" s="23">
        <v>28755</v>
      </c>
      <c r="D18" s="23" t="s">
        <v>20</v>
      </c>
      <c r="E18" s="23" t="s">
        <v>21</v>
      </c>
      <c r="F18" s="52">
        <f t="shared" ca="1" si="0"/>
        <v>48.044476727943234</v>
      </c>
      <c r="G18" s="96" t="s">
        <v>63</v>
      </c>
      <c r="H18" s="24">
        <v>2007</v>
      </c>
      <c r="I18" s="24"/>
      <c r="J18" s="24"/>
      <c r="K18" s="24" t="s">
        <v>37</v>
      </c>
      <c r="L18" s="24" t="s">
        <v>43</v>
      </c>
      <c r="M18" s="25" t="s">
        <v>64</v>
      </c>
      <c r="N18" s="25"/>
      <c r="O18" s="24"/>
      <c r="P18" s="36"/>
      <c r="Q18" s="37"/>
      <c r="R18" s="37"/>
      <c r="S18" s="38"/>
      <c r="T18" s="39"/>
      <c r="U18" s="39"/>
      <c r="V18" s="40"/>
      <c r="W18" s="40"/>
      <c r="X18" s="40"/>
    </row>
    <row r="19" spans="1:24" ht="24.75" customHeight="1">
      <c r="A19" s="21">
        <v>13</v>
      </c>
      <c r="B19" s="25" t="s">
        <v>65</v>
      </c>
      <c r="C19" s="24" t="str">
        <f>VLOOKUP(B19,[1]Sheet1!$C$7:$D$41,2,0)</f>
        <v>02/06/2000</v>
      </c>
      <c r="D19" s="23" t="s">
        <v>20</v>
      </c>
      <c r="E19" s="23" t="s">
        <v>21</v>
      </c>
      <c r="F19" s="52">
        <f t="shared" ca="1" si="0"/>
        <v>26.348408030825393</v>
      </c>
      <c r="G19" s="24" t="str">
        <f>VLOOKUP(B19,[1]Sheet1!$C$7:$H$41,6,0)</f>
        <v>0329368788</v>
      </c>
      <c r="H19" s="24">
        <v>2025</v>
      </c>
      <c r="I19" s="24"/>
      <c r="J19" s="24"/>
      <c r="K19" s="24" t="s">
        <v>37</v>
      </c>
      <c r="L19" s="24" t="s">
        <v>43</v>
      </c>
      <c r="M19" s="25" t="s">
        <v>66</v>
      </c>
      <c r="N19" s="25"/>
      <c r="O19" s="24"/>
      <c r="P19" s="36"/>
      <c r="Q19" s="37"/>
      <c r="R19" s="37"/>
      <c r="S19" s="38"/>
      <c r="T19" s="39"/>
      <c r="U19" s="39"/>
      <c r="V19" s="40"/>
      <c r="W19" s="40"/>
      <c r="X19" s="40"/>
    </row>
    <row r="20" spans="1:24" ht="24.75" customHeight="1">
      <c r="A20" s="21">
        <v>14</v>
      </c>
      <c r="B20" s="25" t="s">
        <v>67</v>
      </c>
      <c r="C20" s="24" t="str">
        <f>VLOOKUP(B20,[1]Sheet1!$C$7:$D$41,2,0)</f>
        <v>27/01/1991</v>
      </c>
      <c r="D20" s="23" t="s">
        <v>20</v>
      </c>
      <c r="E20" s="23" t="s">
        <v>21</v>
      </c>
      <c r="F20" s="52">
        <f t="shared" ca="1" si="0"/>
        <v>35.696098562628336</v>
      </c>
      <c r="G20" s="24" t="str">
        <f>VLOOKUP(B20,[1]Sheet1!$C$7:$H$41,6,0)</f>
        <v>0397930486</v>
      </c>
      <c r="H20" s="24">
        <v>2020</v>
      </c>
      <c r="I20" s="24"/>
      <c r="J20" s="24"/>
      <c r="K20" s="24" t="s">
        <v>37</v>
      </c>
      <c r="L20" s="24" t="s">
        <v>43</v>
      </c>
      <c r="M20" s="25" t="s">
        <v>68</v>
      </c>
      <c r="N20" s="25"/>
      <c r="O20" s="24"/>
      <c r="P20" s="36"/>
      <c r="Q20" s="37"/>
      <c r="R20" s="37"/>
      <c r="S20" s="38"/>
      <c r="T20" s="39"/>
      <c r="U20" s="39"/>
      <c r="V20" s="40"/>
      <c r="W20" s="40"/>
      <c r="X20" s="40"/>
    </row>
    <row r="21" spans="1:24" ht="36" customHeight="1">
      <c r="A21" s="21">
        <v>15</v>
      </c>
      <c r="B21" s="25" t="s">
        <v>69</v>
      </c>
      <c r="C21" s="24" t="str">
        <f>VLOOKUP(B21,[1]Sheet1!$C$7:$D$41,2,0)</f>
        <v>25/10/1974</v>
      </c>
      <c r="D21" s="23" t="s">
        <v>20</v>
      </c>
      <c r="E21" s="23" t="s">
        <v>21</v>
      </c>
      <c r="F21" s="52">
        <f t="shared" ca="1" si="0"/>
        <v>51.954127492509556</v>
      </c>
      <c r="G21" s="24" t="str">
        <f>VLOOKUP(B21,[1]Sheet1!$C$7:$H$41,6,0)</f>
        <v>0984039736</v>
      </c>
      <c r="H21" s="24">
        <v>1996</v>
      </c>
      <c r="I21" s="24">
        <v>1</v>
      </c>
      <c r="J21" s="24"/>
      <c r="K21" s="24" t="s">
        <v>37</v>
      </c>
      <c r="L21" s="24" t="s">
        <v>43</v>
      </c>
      <c r="M21" s="25" t="s">
        <v>70</v>
      </c>
      <c r="N21" s="25" t="s">
        <v>71</v>
      </c>
      <c r="O21" s="24"/>
      <c r="P21" s="36"/>
      <c r="Q21" s="37"/>
      <c r="R21" s="37"/>
      <c r="S21" s="38"/>
      <c r="T21" s="39"/>
      <c r="U21" s="39"/>
      <c r="V21" s="40"/>
      <c r="W21" s="40"/>
      <c r="X21" s="40"/>
    </row>
    <row r="22" spans="1:24" ht="24.75" customHeight="1">
      <c r="A22" s="21">
        <v>16</v>
      </c>
      <c r="B22" s="32" t="s">
        <v>72</v>
      </c>
      <c r="C22" s="23">
        <v>26962</v>
      </c>
      <c r="D22" s="23" t="s">
        <v>20</v>
      </c>
      <c r="E22" s="23" t="s">
        <v>21</v>
      </c>
      <c r="F22" s="52">
        <f t="shared" ca="1" si="0"/>
        <v>52.954114485625915</v>
      </c>
      <c r="G22" s="96" t="s">
        <v>73</v>
      </c>
      <c r="H22" s="24">
        <v>1991</v>
      </c>
      <c r="I22" s="24">
        <v>1</v>
      </c>
      <c r="J22" s="24"/>
      <c r="K22" s="24" t="s">
        <v>37</v>
      </c>
      <c r="L22" s="24" t="s">
        <v>43</v>
      </c>
      <c r="M22" s="25" t="s">
        <v>74</v>
      </c>
      <c r="N22" s="25"/>
      <c r="O22" s="24"/>
      <c r="P22" s="36"/>
      <c r="Q22" s="37"/>
      <c r="R22" s="37"/>
      <c r="S22" s="38"/>
      <c r="T22" s="39"/>
      <c r="U22" s="39"/>
      <c r="V22" s="40"/>
      <c r="W22" s="40"/>
      <c r="X22" s="40"/>
    </row>
    <row r="23" spans="1:24" ht="24.75" customHeight="1">
      <c r="A23" s="21">
        <v>17</v>
      </c>
      <c r="B23" s="32" t="s">
        <v>75</v>
      </c>
      <c r="C23" s="23">
        <v>27715</v>
      </c>
      <c r="D23" s="23" t="s">
        <v>20</v>
      </c>
      <c r="E23" s="23" t="s">
        <v>21</v>
      </c>
      <c r="F23" s="52">
        <f t="shared" ca="1" si="0"/>
        <v>50.891170431211499</v>
      </c>
      <c r="G23" s="96" t="s">
        <v>76</v>
      </c>
      <c r="H23" s="24">
        <v>1996</v>
      </c>
      <c r="I23" s="24">
        <v>1</v>
      </c>
      <c r="J23" s="24"/>
      <c r="K23" s="24" t="s">
        <v>37</v>
      </c>
      <c r="L23" s="24" t="s">
        <v>43</v>
      </c>
      <c r="M23" s="25" t="s">
        <v>77</v>
      </c>
      <c r="N23" s="25"/>
      <c r="O23" s="24"/>
      <c r="W23" s="40"/>
      <c r="X23" s="40"/>
    </row>
    <row r="24" spans="1:24" ht="37.5" customHeight="1">
      <c r="A24" s="21">
        <v>18</v>
      </c>
      <c r="B24" s="32" t="s">
        <v>78</v>
      </c>
      <c r="C24" s="23">
        <v>32214</v>
      </c>
      <c r="D24" s="23" t="s">
        <v>20</v>
      </c>
      <c r="E24" s="23" t="s">
        <v>21</v>
      </c>
      <c r="F24" s="52">
        <f t="shared" ca="1" si="0"/>
        <v>38.572902772902772</v>
      </c>
      <c r="G24" s="96" t="s">
        <v>79</v>
      </c>
      <c r="H24" s="24">
        <v>2011</v>
      </c>
      <c r="I24" s="24">
        <v>1</v>
      </c>
      <c r="J24" s="24"/>
      <c r="K24" s="56" t="s">
        <v>24</v>
      </c>
      <c r="L24" s="24" t="s">
        <v>43</v>
      </c>
      <c r="M24" s="25" t="s">
        <v>80</v>
      </c>
      <c r="N24" s="25" t="s">
        <v>81</v>
      </c>
      <c r="O24" s="24"/>
    </row>
    <row r="25" spans="1:24" ht="24.75" customHeight="1">
      <c r="A25" s="21">
        <v>19</v>
      </c>
      <c r="B25" s="32" t="s">
        <v>82</v>
      </c>
      <c r="C25" s="23">
        <v>34652</v>
      </c>
      <c r="D25" s="23" t="s">
        <v>20</v>
      </c>
      <c r="E25" s="23" t="s">
        <v>21</v>
      </c>
      <c r="F25" s="52">
        <f t="shared" ca="1" si="0"/>
        <v>31.899361154899193</v>
      </c>
      <c r="G25" s="96" t="s">
        <v>83</v>
      </c>
      <c r="H25" s="57">
        <v>2020</v>
      </c>
      <c r="I25" s="57">
        <v>1</v>
      </c>
      <c r="J25" s="57"/>
      <c r="K25" s="24" t="s">
        <v>37</v>
      </c>
      <c r="L25" s="24" t="s">
        <v>43</v>
      </c>
      <c r="M25" s="25" t="s">
        <v>84</v>
      </c>
      <c r="N25" s="25"/>
      <c r="O25" s="24"/>
    </row>
    <row r="26" spans="1:24" ht="24.75" customHeight="1">
      <c r="A26" s="21">
        <v>20</v>
      </c>
      <c r="B26" s="32" t="s">
        <v>85</v>
      </c>
      <c r="C26" s="23">
        <v>32231</v>
      </c>
      <c r="D26" s="23" t="s">
        <v>20</v>
      </c>
      <c r="E26" s="23" t="s">
        <v>21</v>
      </c>
      <c r="F26" s="52">
        <f t="shared" ca="1" si="0"/>
        <v>38.526360126360125</v>
      </c>
      <c r="G26" s="96" t="s">
        <v>86</v>
      </c>
      <c r="H26" s="21">
        <v>2011</v>
      </c>
      <c r="I26" s="21">
        <v>1</v>
      </c>
      <c r="J26" s="21"/>
      <c r="K26" s="24" t="s">
        <v>37</v>
      </c>
      <c r="L26" s="24" t="s">
        <v>43</v>
      </c>
      <c r="M26" s="25" t="s">
        <v>87</v>
      </c>
      <c r="N26" s="25"/>
      <c r="O26" s="24"/>
    </row>
    <row r="27" spans="1:24" ht="24.75" customHeight="1">
      <c r="A27" s="21">
        <v>21</v>
      </c>
      <c r="B27" s="32" t="s">
        <v>88</v>
      </c>
      <c r="C27" s="23">
        <v>34925</v>
      </c>
      <c r="D27" s="23" t="s">
        <v>20</v>
      </c>
      <c r="E27" s="23" t="s">
        <v>21</v>
      </c>
      <c r="F27" s="52">
        <f t="shared" ca="1" si="0"/>
        <v>31.15126625598905</v>
      </c>
      <c r="G27" s="97" t="s">
        <v>89</v>
      </c>
      <c r="H27" s="24">
        <v>2020</v>
      </c>
      <c r="I27" s="24">
        <v>1</v>
      </c>
      <c r="J27" s="24" t="s">
        <v>23</v>
      </c>
      <c r="K27" s="24" t="s">
        <v>37</v>
      </c>
      <c r="L27" s="24" t="s">
        <v>43</v>
      </c>
      <c r="M27" s="25" t="s">
        <v>90</v>
      </c>
      <c r="N27" s="25"/>
      <c r="O27" s="24"/>
    </row>
    <row r="28" spans="1:24" ht="24.75" customHeight="1">
      <c r="A28" s="21">
        <v>22</v>
      </c>
      <c r="B28" s="32" t="s">
        <v>91</v>
      </c>
      <c r="C28" s="23">
        <v>35319</v>
      </c>
      <c r="D28" s="23" t="s">
        <v>20</v>
      </c>
      <c r="E28" s="23" t="s">
        <v>21</v>
      </c>
      <c r="F28" s="52">
        <f t="shared" ca="1" si="0"/>
        <v>30.071889075333392</v>
      </c>
      <c r="G28" s="96" t="s">
        <v>92</v>
      </c>
      <c r="H28" s="56">
        <v>2023</v>
      </c>
      <c r="I28" s="56">
        <v>1</v>
      </c>
      <c r="J28" s="56"/>
      <c r="K28" s="24" t="s">
        <v>37</v>
      </c>
      <c r="L28" s="24" t="s">
        <v>43</v>
      </c>
      <c r="M28" s="25" t="s">
        <v>93</v>
      </c>
      <c r="N28" s="25"/>
      <c r="O28" s="24"/>
    </row>
    <row r="29" spans="1:24" ht="24.75" customHeight="1">
      <c r="A29" s="21">
        <v>23</v>
      </c>
      <c r="B29" s="58" t="s">
        <v>94</v>
      </c>
      <c r="C29" s="54">
        <v>34578</v>
      </c>
      <c r="D29" s="23" t="s">
        <v>20</v>
      </c>
      <c r="E29" s="23" t="s">
        <v>21</v>
      </c>
      <c r="F29" s="52">
        <f t="shared" ca="1" si="0"/>
        <v>32.101966315440137</v>
      </c>
      <c r="G29" s="96" t="s">
        <v>95</v>
      </c>
      <c r="H29" s="56">
        <v>2017</v>
      </c>
      <c r="I29" s="56">
        <v>1</v>
      </c>
      <c r="J29" s="56"/>
      <c r="K29" s="24" t="s">
        <v>37</v>
      </c>
      <c r="L29" s="24" t="s">
        <v>43</v>
      </c>
      <c r="M29" s="25" t="s">
        <v>96</v>
      </c>
      <c r="N29" s="25"/>
      <c r="O29" s="24"/>
    </row>
    <row r="30" spans="1:24" ht="24.75" customHeight="1">
      <c r="A30" s="21">
        <v>24</v>
      </c>
      <c r="B30" s="58" t="s">
        <v>97</v>
      </c>
      <c r="C30" s="59">
        <v>32454</v>
      </c>
      <c r="D30" s="23" t="s">
        <v>20</v>
      </c>
      <c r="E30" s="23" t="s">
        <v>21</v>
      </c>
      <c r="F30" s="52">
        <f t="shared" ca="1" si="0"/>
        <v>37.915830115830111</v>
      </c>
      <c r="G30" s="96" t="s">
        <v>98</v>
      </c>
      <c r="H30" s="56">
        <v>2011</v>
      </c>
      <c r="I30" s="56">
        <v>1</v>
      </c>
      <c r="J30" s="24" t="s">
        <v>23</v>
      </c>
      <c r="K30" s="56" t="s">
        <v>24</v>
      </c>
      <c r="L30" s="24" t="s">
        <v>43</v>
      </c>
      <c r="M30" s="25" t="s">
        <v>99</v>
      </c>
      <c r="N30" s="25"/>
      <c r="O30" s="24"/>
    </row>
    <row r="31" spans="1:24" ht="36.75" customHeight="1">
      <c r="A31" s="21">
        <v>25</v>
      </c>
      <c r="B31" s="25" t="s">
        <v>100</v>
      </c>
      <c r="C31" s="24" t="str">
        <f>VLOOKUP(B31,[1]Sheet1!$C$7:$D$41,2,0)</f>
        <v>12/08/1992</v>
      </c>
      <c r="D31" s="23" t="s">
        <v>20</v>
      </c>
      <c r="E31" s="23" t="s">
        <v>21</v>
      </c>
      <c r="F31" s="52">
        <f t="shared" ca="1" si="0"/>
        <v>34.154020650813514</v>
      </c>
      <c r="G31" s="24" t="str">
        <f>VLOOKUP(B31,[1]Sheet1!$C$7:$H$41,6,0)</f>
        <v>0399835092</v>
      </c>
      <c r="H31" s="56">
        <v>2025</v>
      </c>
      <c r="I31" s="56"/>
      <c r="J31" s="56"/>
      <c r="K31" s="24" t="s">
        <v>37</v>
      </c>
      <c r="L31" s="24" t="s">
        <v>43</v>
      </c>
      <c r="M31" s="25" t="s">
        <v>101</v>
      </c>
      <c r="N31" s="25" t="s">
        <v>102</v>
      </c>
      <c r="O31" s="24"/>
    </row>
    <row r="32" spans="1:24" ht="24.75" customHeight="1">
      <c r="A32" s="21">
        <v>26</v>
      </c>
      <c r="B32" s="25" t="s">
        <v>103</v>
      </c>
      <c r="C32" s="24" t="str">
        <f>VLOOKUP(B32,[1]Sheet1!$C$7:$D$41,2,0)</f>
        <v>06/10/1992</v>
      </c>
      <c r="D32" s="23" t="s">
        <v>20</v>
      </c>
      <c r="E32" s="23" t="s">
        <v>21</v>
      </c>
      <c r="F32" s="52">
        <f t="shared" ca="1" si="0"/>
        <v>34.003441802252816</v>
      </c>
      <c r="G32" s="24" t="str">
        <f>VLOOKUP(B32,[1]Sheet1!$C$7:$H$41,6,0)</f>
        <v>0392921841</v>
      </c>
      <c r="H32" s="56">
        <v>2025</v>
      </c>
      <c r="I32" s="56"/>
      <c r="J32" s="56"/>
      <c r="K32" s="24" t="s">
        <v>37</v>
      </c>
      <c r="L32" s="24" t="s">
        <v>43</v>
      </c>
      <c r="M32" s="25" t="s">
        <v>104</v>
      </c>
      <c r="N32" s="25"/>
      <c r="O32" s="24"/>
    </row>
    <row r="33" spans="1:24" ht="24.75" customHeight="1">
      <c r="A33" s="21">
        <v>27</v>
      </c>
      <c r="B33" s="22" t="s">
        <v>105</v>
      </c>
      <c r="C33" s="24" t="str">
        <f>VLOOKUP(B33,[1]Sheet1!$C$7:$D$41,2,0)</f>
        <v>20/03/1972</v>
      </c>
      <c r="D33" s="23" t="s">
        <v>20</v>
      </c>
      <c r="E33" s="23" t="s">
        <v>21</v>
      </c>
      <c r="F33" s="52">
        <f t="shared" ca="1" si="0"/>
        <v>54.55099805863906</v>
      </c>
      <c r="G33" s="24" t="str">
        <f>VLOOKUP(B33,[1]Sheet1!$C$7:$H$41,6,0)</f>
        <v>0974010508</v>
      </c>
      <c r="H33" s="56">
        <v>1992</v>
      </c>
      <c r="I33" s="56">
        <v>1</v>
      </c>
      <c r="J33" s="56"/>
      <c r="K33" s="24" t="s">
        <v>37</v>
      </c>
      <c r="L33" s="24" t="s">
        <v>43</v>
      </c>
      <c r="M33" s="25" t="s">
        <v>106</v>
      </c>
      <c r="N33" s="25"/>
      <c r="O33" s="24"/>
    </row>
    <row r="34" spans="1:24" ht="24.75" customHeight="1">
      <c r="A34" s="21">
        <v>28</v>
      </c>
      <c r="B34" s="22" t="s">
        <v>107</v>
      </c>
      <c r="C34" s="24" t="str">
        <f>VLOOKUP(B34,[1]Sheet1!$C$7:$D$41,2,0)</f>
        <v>03/10/1995</v>
      </c>
      <c r="D34" s="23" t="s">
        <v>20</v>
      </c>
      <c r="E34" s="23" t="s">
        <v>21</v>
      </c>
      <c r="F34" s="52">
        <f t="shared" ca="1" si="0"/>
        <v>31.014373716632445</v>
      </c>
      <c r="G34" s="24" t="str">
        <f>VLOOKUP(B34,[1]Sheet1!$C$7:$H$41,6,0)</f>
        <v>0964620359</v>
      </c>
      <c r="H34" s="56">
        <v>2020</v>
      </c>
      <c r="I34" s="56"/>
      <c r="J34" s="56"/>
      <c r="K34" s="24" t="s">
        <v>37</v>
      </c>
      <c r="L34" s="24" t="s">
        <v>43</v>
      </c>
      <c r="M34" s="25" t="s">
        <v>108</v>
      </c>
      <c r="N34" s="25"/>
      <c r="O34" s="24"/>
    </row>
    <row r="35" spans="1:24" ht="24.75" customHeight="1">
      <c r="A35" s="21">
        <v>29</v>
      </c>
      <c r="B35" s="60" t="s">
        <v>109</v>
      </c>
      <c r="C35" s="23">
        <v>33807</v>
      </c>
      <c r="D35" s="23" t="s">
        <v>20</v>
      </c>
      <c r="E35" s="23" t="s">
        <v>21</v>
      </c>
      <c r="F35" s="52">
        <f t="shared" ca="1" si="0"/>
        <v>34.211514392991241</v>
      </c>
      <c r="G35" s="96" t="s">
        <v>110</v>
      </c>
      <c r="H35" s="24">
        <v>2014</v>
      </c>
      <c r="I35" s="24"/>
      <c r="J35" s="24"/>
      <c r="K35" s="24" t="s">
        <v>37</v>
      </c>
      <c r="L35" s="24" t="s">
        <v>43</v>
      </c>
      <c r="M35" s="25" t="s">
        <v>111</v>
      </c>
      <c r="N35" s="25"/>
      <c r="O35" s="24"/>
    </row>
    <row r="36" spans="1:24" ht="24.75" customHeight="1">
      <c r="A36" s="21">
        <v>30</v>
      </c>
      <c r="B36" s="32" t="s">
        <v>112</v>
      </c>
      <c r="C36" s="94" t="s">
        <v>113</v>
      </c>
      <c r="D36" s="23" t="s">
        <v>20</v>
      </c>
      <c r="E36" s="23" t="s">
        <v>21</v>
      </c>
      <c r="F36" s="52">
        <f t="shared" ca="1" si="0"/>
        <v>29.290864287669983</v>
      </c>
      <c r="G36" s="96" t="s">
        <v>114</v>
      </c>
      <c r="H36" s="24">
        <v>2020</v>
      </c>
      <c r="I36" s="24">
        <v>1</v>
      </c>
      <c r="J36" s="24"/>
      <c r="K36" s="24" t="s">
        <v>37</v>
      </c>
      <c r="L36" s="24" t="s">
        <v>43</v>
      </c>
      <c r="M36" s="25" t="s">
        <v>115</v>
      </c>
      <c r="N36" s="25"/>
      <c r="O36" s="24"/>
    </row>
    <row r="37" spans="1:24" ht="24.75" customHeight="1">
      <c r="A37" s="21">
        <v>31</v>
      </c>
      <c r="B37" s="32" t="s">
        <v>116</v>
      </c>
      <c r="C37" s="23">
        <v>35990</v>
      </c>
      <c r="D37" s="23" t="s">
        <v>20</v>
      </c>
      <c r="E37" s="23" t="s">
        <v>21</v>
      </c>
      <c r="F37" s="52">
        <f t="shared" ca="1" si="0"/>
        <v>28.23612160120846</v>
      </c>
      <c r="G37" s="96" t="s">
        <v>117</v>
      </c>
      <c r="H37" s="24">
        <v>2021</v>
      </c>
      <c r="I37" s="24">
        <v>1</v>
      </c>
      <c r="J37" s="24"/>
      <c r="K37" s="21" t="s">
        <v>24</v>
      </c>
      <c r="L37" s="24" t="s">
        <v>43</v>
      </c>
      <c r="M37" s="25" t="s">
        <v>118</v>
      </c>
      <c r="N37" s="25"/>
      <c r="O37" s="24"/>
      <c r="Q37" s="36"/>
      <c r="R37" s="61"/>
      <c r="S37" s="61"/>
      <c r="T37" s="36"/>
      <c r="U37" s="62"/>
      <c r="V37" s="62"/>
      <c r="W37" s="63"/>
    </row>
    <row r="38" spans="1:24" ht="29.45" customHeight="1">
      <c r="A38" s="21">
        <v>32</v>
      </c>
      <c r="B38" s="32" t="s">
        <v>119</v>
      </c>
      <c r="C38" s="23">
        <v>26104</v>
      </c>
      <c r="D38" s="23" t="s">
        <v>20</v>
      </c>
      <c r="E38" s="23" t="s">
        <v>21</v>
      </c>
      <c r="F38" s="52">
        <f t="shared" ca="1" si="0"/>
        <v>55.301848049281311</v>
      </c>
      <c r="G38" s="96" t="s">
        <v>120</v>
      </c>
      <c r="H38" s="56">
        <v>1996</v>
      </c>
      <c r="I38" s="56">
        <v>1</v>
      </c>
      <c r="J38" s="56"/>
      <c r="K38" s="24" t="s">
        <v>37</v>
      </c>
      <c r="L38" s="24" t="s">
        <v>43</v>
      </c>
      <c r="M38" s="25" t="s">
        <v>121</v>
      </c>
      <c r="N38" s="25"/>
      <c r="O38" s="24"/>
      <c r="W38" s="63"/>
    </row>
    <row r="39" spans="1:24" ht="24.75" customHeight="1">
      <c r="A39" s="21">
        <v>33</v>
      </c>
      <c r="B39" s="32" t="s">
        <v>122</v>
      </c>
      <c r="C39" s="94" t="s">
        <v>123</v>
      </c>
      <c r="D39" s="23" t="s">
        <v>20</v>
      </c>
      <c r="E39" s="23" t="s">
        <v>21</v>
      </c>
      <c r="F39" s="52">
        <f t="shared" ca="1" si="0"/>
        <v>37.041717703004537</v>
      </c>
      <c r="G39" s="96" t="s">
        <v>124</v>
      </c>
      <c r="H39" s="24">
        <v>2016</v>
      </c>
      <c r="I39" s="24">
        <v>1</v>
      </c>
      <c r="J39" s="24"/>
      <c r="K39" s="24" t="s">
        <v>37</v>
      </c>
      <c r="L39" s="24" t="s">
        <v>43</v>
      </c>
      <c r="M39" s="25" t="s">
        <v>125</v>
      </c>
      <c r="N39" s="25"/>
      <c r="O39" s="24"/>
      <c r="X39" s="62"/>
    </row>
    <row r="40" spans="1:24" ht="24.95" customHeight="1">
      <c r="A40" s="21">
        <v>34</v>
      </c>
      <c r="B40" s="32" t="s">
        <v>126</v>
      </c>
      <c r="C40" s="23">
        <v>25969</v>
      </c>
      <c r="D40" s="23" t="s">
        <v>20</v>
      </c>
      <c r="E40" s="23" t="s">
        <v>21</v>
      </c>
      <c r="F40" s="52">
        <f t="shared" ca="1" si="0"/>
        <v>55.671457905544145</v>
      </c>
      <c r="G40" s="96" t="s">
        <v>127</v>
      </c>
      <c r="H40" s="24">
        <v>1995</v>
      </c>
      <c r="I40" s="24">
        <v>1</v>
      </c>
      <c r="J40" s="24"/>
      <c r="K40" s="24" t="s">
        <v>37</v>
      </c>
      <c r="L40" s="24" t="s">
        <v>43</v>
      </c>
      <c r="M40" s="25" t="s">
        <v>128</v>
      </c>
      <c r="N40" s="25"/>
      <c r="O40" s="24"/>
      <c r="Q40" s="63"/>
    </row>
    <row r="41" spans="1:24" ht="66.75" customHeight="1">
      <c r="A41" s="21">
        <v>35</v>
      </c>
      <c r="B41" s="32" t="s">
        <v>129</v>
      </c>
      <c r="C41" s="23">
        <v>30965</v>
      </c>
      <c r="D41" s="23" t="s">
        <v>20</v>
      </c>
      <c r="E41" s="23" t="s">
        <v>21</v>
      </c>
      <c r="F41" s="52">
        <f t="shared" ca="1" si="0"/>
        <v>41.992486947663316</v>
      </c>
      <c r="G41" s="96" t="s">
        <v>130</v>
      </c>
      <c r="H41" s="24">
        <v>2007</v>
      </c>
      <c r="I41" s="24">
        <v>1</v>
      </c>
      <c r="J41" s="24" t="s">
        <v>23</v>
      </c>
      <c r="K41" s="24" t="s">
        <v>37</v>
      </c>
      <c r="L41" s="24" t="s">
        <v>131</v>
      </c>
      <c r="M41" s="25" t="s">
        <v>132</v>
      </c>
      <c r="N41" s="25" t="s">
        <v>133</v>
      </c>
      <c r="O41" s="24"/>
    </row>
    <row r="42" spans="1:24" ht="45.75" customHeight="1">
      <c r="A42" s="21">
        <v>36</v>
      </c>
      <c r="B42" s="32" t="s">
        <v>134</v>
      </c>
      <c r="C42" s="23">
        <v>31243</v>
      </c>
      <c r="D42" s="23" t="s">
        <v>20</v>
      </c>
      <c r="E42" s="23" t="s">
        <v>21</v>
      </c>
      <c r="F42" s="52">
        <f t="shared" ca="1" si="0"/>
        <v>41.233376792698827</v>
      </c>
      <c r="G42" s="96" t="s">
        <v>135</v>
      </c>
      <c r="H42" s="24">
        <v>2008</v>
      </c>
      <c r="I42" s="24">
        <v>1</v>
      </c>
      <c r="J42" s="24"/>
      <c r="K42" s="24" t="s">
        <v>37</v>
      </c>
      <c r="L42" s="24" t="s">
        <v>43</v>
      </c>
      <c r="M42" s="25" t="s">
        <v>136</v>
      </c>
      <c r="N42" s="25"/>
      <c r="O42" s="24"/>
    </row>
    <row r="43" spans="1:24" ht="68.25" customHeight="1">
      <c r="A43" s="21">
        <v>37</v>
      </c>
      <c r="B43" s="32" t="s">
        <v>137</v>
      </c>
      <c r="C43" s="23">
        <v>31595</v>
      </c>
      <c r="D43" s="23" t="s">
        <v>20</v>
      </c>
      <c r="E43" s="23" t="s">
        <v>21</v>
      </c>
      <c r="F43" s="52">
        <f t="shared" ca="1" si="0"/>
        <v>40.268981636060097</v>
      </c>
      <c r="G43" s="94" t="s">
        <v>138</v>
      </c>
      <c r="H43" s="24">
        <v>2011</v>
      </c>
      <c r="I43" s="24">
        <v>1</v>
      </c>
      <c r="J43" s="24" t="s">
        <v>23</v>
      </c>
      <c r="K43" s="24" t="s">
        <v>37</v>
      </c>
      <c r="L43" s="24" t="s">
        <v>139</v>
      </c>
      <c r="M43" s="25" t="s">
        <v>140</v>
      </c>
      <c r="N43" s="25" t="s">
        <v>436</v>
      </c>
      <c r="O43" s="24"/>
    </row>
    <row r="44" spans="1:24" ht="27.95" customHeight="1">
      <c r="A44" s="21">
        <v>38</v>
      </c>
      <c r="B44" s="22" t="s">
        <v>141</v>
      </c>
      <c r="C44" s="24" t="str">
        <f>VLOOKUP(B44,[1]Sheet1!$C$7:$D$41,2,0)</f>
        <v>16/02/1999</v>
      </c>
      <c r="D44" s="23" t="s">
        <v>20</v>
      </c>
      <c r="E44" s="23" t="s">
        <v>21</v>
      </c>
      <c r="F44" s="52">
        <f t="shared" ca="1" si="0"/>
        <v>27.641341546885695</v>
      </c>
      <c r="G44" s="24" t="str">
        <f>VLOOKUP(B44,[1]Sheet1!$C$7:$H$41,6,0)</f>
        <v>0973229929</v>
      </c>
      <c r="H44" s="24">
        <v>2025</v>
      </c>
      <c r="I44" s="24">
        <v>1</v>
      </c>
      <c r="J44" s="24"/>
      <c r="K44" s="24" t="s">
        <v>37</v>
      </c>
      <c r="L44" s="24" t="s">
        <v>43</v>
      </c>
      <c r="M44" s="25" t="s">
        <v>142</v>
      </c>
      <c r="N44" s="25"/>
      <c r="O44" s="24"/>
    </row>
    <row r="45" spans="1:24" ht="27.95" customHeight="1">
      <c r="A45" s="21">
        <v>39</v>
      </c>
      <c r="B45" s="22" t="s">
        <v>143</v>
      </c>
      <c r="C45" s="24" t="str">
        <f>VLOOKUP(B45,[1]Sheet1!$C$7:$D$41,2,0)</f>
        <v>17/06/1996</v>
      </c>
      <c r="D45" s="23" t="s">
        <v>20</v>
      </c>
      <c r="E45" s="23" t="s">
        <v>21</v>
      </c>
      <c r="F45" s="52">
        <f t="shared" ca="1" si="0"/>
        <v>30.307339044422857</v>
      </c>
      <c r="G45" s="24" t="str">
        <f>VLOOKUP(B45,[1]Sheet1!$C$7:$H$41,6,0)</f>
        <v>0976791554</v>
      </c>
      <c r="H45" s="24">
        <v>2025</v>
      </c>
      <c r="I45" s="24"/>
      <c r="J45" s="24"/>
      <c r="K45" s="24" t="s">
        <v>37</v>
      </c>
      <c r="L45" s="24" t="s">
        <v>43</v>
      </c>
      <c r="M45" s="25" t="s">
        <v>144</v>
      </c>
      <c r="N45" s="25"/>
      <c r="O45" s="24"/>
    </row>
    <row r="46" spans="1:24" ht="106.5" customHeight="1">
      <c r="A46" s="21">
        <v>40</v>
      </c>
      <c r="B46" s="22" t="s">
        <v>145</v>
      </c>
      <c r="C46" s="24" t="str">
        <f>VLOOKUP(B46,[1]Sheet1!$C$7:$D$41,2,0)</f>
        <v>02/01/1975</v>
      </c>
      <c r="D46" s="23" t="s">
        <v>20</v>
      </c>
      <c r="E46" s="23" t="s">
        <v>21</v>
      </c>
      <c r="F46" s="52">
        <f t="shared" ca="1" si="0"/>
        <v>51.76454483230664</v>
      </c>
      <c r="G46" s="24" t="str">
        <f>VLOOKUP(B46,[1]Sheet1!$C$7:$H$41,6,0)</f>
        <v>0948538696</v>
      </c>
      <c r="H46" s="24">
        <v>1996</v>
      </c>
      <c r="I46" s="24">
        <v>1</v>
      </c>
      <c r="J46" s="24"/>
      <c r="K46" s="24" t="s">
        <v>37</v>
      </c>
      <c r="L46" s="24" t="s">
        <v>146</v>
      </c>
      <c r="M46" s="25" t="s">
        <v>147</v>
      </c>
      <c r="N46" s="25" t="s">
        <v>437</v>
      </c>
      <c r="O46" s="24"/>
    </row>
    <row r="47" spans="1:24" ht="24.75" customHeight="1">
      <c r="A47" s="21">
        <v>41</v>
      </c>
      <c r="B47" s="32" t="s">
        <v>149</v>
      </c>
      <c r="C47" s="23">
        <v>32620</v>
      </c>
      <c r="D47" s="23" t="s">
        <v>20</v>
      </c>
      <c r="E47" s="23" t="s">
        <v>21</v>
      </c>
      <c r="F47" s="52">
        <f t="shared" ca="1" si="0"/>
        <v>37.46336191368254</v>
      </c>
      <c r="G47" s="96" t="s">
        <v>150</v>
      </c>
      <c r="H47" s="24">
        <v>2020</v>
      </c>
      <c r="I47" s="24"/>
      <c r="J47" s="24"/>
      <c r="K47" s="24" t="s">
        <v>37</v>
      </c>
      <c r="L47" s="24" t="s">
        <v>43</v>
      </c>
      <c r="M47" s="25" t="s">
        <v>151</v>
      </c>
      <c r="N47" s="25"/>
      <c r="O47" s="24"/>
    </row>
    <row r="48" spans="1:24" ht="24.75" customHeight="1">
      <c r="A48" s="21">
        <v>42</v>
      </c>
      <c r="B48" s="32" t="s">
        <v>152</v>
      </c>
      <c r="C48" s="23">
        <v>25877</v>
      </c>
      <c r="D48" s="23" t="s">
        <v>20</v>
      </c>
      <c r="E48" s="23" t="s">
        <v>21</v>
      </c>
      <c r="F48" s="52">
        <f t="shared" ca="1" si="0"/>
        <v>55.924011720063405</v>
      </c>
      <c r="G48" s="96" t="s">
        <v>153</v>
      </c>
      <c r="H48" s="24">
        <v>1991</v>
      </c>
      <c r="I48" s="24">
        <v>1</v>
      </c>
      <c r="J48" s="24"/>
      <c r="K48" s="24" t="s">
        <v>37</v>
      </c>
      <c r="L48" s="24" t="s">
        <v>43</v>
      </c>
      <c r="M48" s="25" t="s">
        <v>154</v>
      </c>
      <c r="N48" s="25"/>
      <c r="O48" s="24"/>
    </row>
    <row r="49" spans="1:15" ht="24.75" customHeight="1">
      <c r="A49" s="21">
        <v>43</v>
      </c>
      <c r="B49" s="32" t="s">
        <v>155</v>
      </c>
      <c r="C49" s="94" t="s">
        <v>156</v>
      </c>
      <c r="D49" s="23" t="s">
        <v>20</v>
      </c>
      <c r="E49" s="23" t="s">
        <v>21</v>
      </c>
      <c r="F49" s="52">
        <f t="shared" ca="1" si="0"/>
        <v>30.78986995208761</v>
      </c>
      <c r="G49" s="96" t="s">
        <v>157</v>
      </c>
      <c r="H49" s="53">
        <v>2020</v>
      </c>
      <c r="I49" s="53">
        <v>1</v>
      </c>
      <c r="J49" s="53"/>
      <c r="K49" s="21" t="s">
        <v>24</v>
      </c>
      <c r="L49" s="24" t="s">
        <v>43</v>
      </c>
      <c r="M49" s="25" t="s">
        <v>158</v>
      </c>
      <c r="N49" s="25"/>
      <c r="O49" s="24"/>
    </row>
    <row r="50" spans="1:15" ht="24.75" customHeight="1">
      <c r="A50" s="21">
        <v>44</v>
      </c>
      <c r="B50" s="32" t="s">
        <v>159</v>
      </c>
      <c r="C50" s="94" t="s">
        <v>160</v>
      </c>
      <c r="D50" s="23" t="s">
        <v>20</v>
      </c>
      <c r="E50" s="23" t="s">
        <v>21</v>
      </c>
      <c r="F50" s="52">
        <f t="shared" ca="1" si="0"/>
        <v>31.017111567419576</v>
      </c>
      <c r="G50" s="96" t="s">
        <v>161</v>
      </c>
      <c r="H50" s="56">
        <v>2018</v>
      </c>
      <c r="I50" s="56">
        <v>1</v>
      </c>
      <c r="J50" s="56"/>
      <c r="K50" s="21" t="s">
        <v>24</v>
      </c>
      <c r="L50" s="24" t="s">
        <v>43</v>
      </c>
      <c r="M50" s="25" t="s">
        <v>162</v>
      </c>
      <c r="N50" s="25"/>
      <c r="O50" s="24"/>
    </row>
    <row r="51" spans="1:15" ht="24.75" customHeight="1">
      <c r="A51" s="21">
        <v>45</v>
      </c>
      <c r="B51" s="32" t="s">
        <v>163</v>
      </c>
      <c r="C51" s="23">
        <v>36218</v>
      </c>
      <c r="D51" s="23" t="s">
        <v>20</v>
      </c>
      <c r="E51" s="23" t="s">
        <v>21</v>
      </c>
      <c r="F51" s="52">
        <f t="shared" ca="1" si="0"/>
        <v>27.611225188227241</v>
      </c>
      <c r="G51" s="96" t="s">
        <v>164</v>
      </c>
      <c r="H51" s="24">
        <v>2023</v>
      </c>
      <c r="I51" s="24">
        <v>1</v>
      </c>
      <c r="J51" s="24"/>
      <c r="K51" s="24" t="s">
        <v>37</v>
      </c>
      <c r="L51" s="24" t="s">
        <v>43</v>
      </c>
      <c r="M51" s="25" t="s">
        <v>165</v>
      </c>
      <c r="N51" s="25"/>
      <c r="O51" s="28"/>
    </row>
    <row r="52" spans="1:15" ht="24.75" customHeight="1">
      <c r="A52" s="21">
        <v>46</v>
      </c>
      <c r="B52" s="32" t="s">
        <v>166</v>
      </c>
      <c r="C52" s="23">
        <v>26258</v>
      </c>
      <c r="D52" s="23" t="s">
        <v>20</v>
      </c>
      <c r="E52" s="23" t="s">
        <v>21</v>
      </c>
      <c r="F52" s="52">
        <f t="shared" ca="1" si="0"/>
        <v>54.880219028062967</v>
      </c>
      <c r="G52" s="96" t="s">
        <v>167</v>
      </c>
      <c r="H52" s="24">
        <v>1992</v>
      </c>
      <c r="I52" s="24">
        <v>1</v>
      </c>
      <c r="J52" s="24"/>
      <c r="K52" s="24" t="s">
        <v>37</v>
      </c>
      <c r="L52" s="24" t="s">
        <v>43</v>
      </c>
      <c r="M52" s="25" t="s">
        <v>168</v>
      </c>
      <c r="N52" s="25"/>
      <c r="O52" s="28"/>
    </row>
    <row r="53" spans="1:15" ht="25.5" customHeight="1">
      <c r="A53" s="21">
        <v>47</v>
      </c>
      <c r="B53" s="32" t="s">
        <v>169</v>
      </c>
      <c r="C53" s="23">
        <v>27831</v>
      </c>
      <c r="D53" s="23" t="s">
        <v>20</v>
      </c>
      <c r="E53" s="23" t="s">
        <v>21</v>
      </c>
      <c r="F53" s="52">
        <f t="shared" ca="1" si="0"/>
        <v>50.572901009233412</v>
      </c>
      <c r="G53" s="96" t="s">
        <v>170</v>
      </c>
      <c r="H53" s="24">
        <v>1996</v>
      </c>
      <c r="I53" s="24">
        <v>1</v>
      </c>
      <c r="J53" s="24"/>
      <c r="K53" s="24" t="s">
        <v>37</v>
      </c>
      <c r="L53" s="24" t="s">
        <v>43</v>
      </c>
      <c r="M53" s="25" t="s">
        <v>171</v>
      </c>
      <c r="N53" s="25"/>
      <c r="O53" s="28"/>
    </row>
    <row r="54" spans="1:15" ht="61.5" customHeight="1">
      <c r="A54" s="21">
        <v>48</v>
      </c>
      <c r="B54" s="32" t="s">
        <v>172</v>
      </c>
      <c r="C54" s="23">
        <v>26437</v>
      </c>
      <c r="D54" s="23" t="s">
        <v>20</v>
      </c>
      <c r="E54" s="23" t="s">
        <v>21</v>
      </c>
      <c r="F54" s="52">
        <f t="shared" ca="1" si="0"/>
        <v>54.389466872417742</v>
      </c>
      <c r="G54" s="96" t="s">
        <v>173</v>
      </c>
      <c r="H54" s="24">
        <v>1994</v>
      </c>
      <c r="I54" s="24">
        <v>1</v>
      </c>
      <c r="J54" s="24"/>
      <c r="K54" s="24" t="s">
        <v>37</v>
      </c>
      <c r="L54" s="24" t="s">
        <v>174</v>
      </c>
      <c r="M54" s="25" t="s">
        <v>175</v>
      </c>
      <c r="N54" s="25" t="s">
        <v>176</v>
      </c>
      <c r="O54" s="28"/>
    </row>
    <row r="55" spans="1:15" ht="33.6" customHeight="1">
      <c r="A55" s="21">
        <v>49</v>
      </c>
      <c r="B55" s="22" t="s">
        <v>177</v>
      </c>
      <c r="C55" s="24" t="str">
        <f>VLOOKUP(B55,[1]Sheet1!$C$7:$D$41,2,0)</f>
        <v>15/03/1999</v>
      </c>
      <c r="D55" s="23" t="s">
        <v>20</v>
      </c>
      <c r="E55" s="23" t="s">
        <v>21</v>
      </c>
      <c r="F55" s="52">
        <f t="shared" ca="1" si="0"/>
        <v>27.567419575633128</v>
      </c>
      <c r="G55" s="24" t="str">
        <f>VLOOKUP(B55,[1]Sheet1!$C$7:$H$41,6,0)</f>
        <v>0965927709</v>
      </c>
      <c r="H55" s="24">
        <v>2025</v>
      </c>
      <c r="I55" s="24"/>
      <c r="J55" s="24"/>
      <c r="K55" s="24" t="s">
        <v>37</v>
      </c>
      <c r="L55" s="24" t="s">
        <v>43</v>
      </c>
      <c r="M55" s="25" t="s">
        <v>178</v>
      </c>
      <c r="N55" s="25"/>
      <c r="O55" s="28"/>
    </row>
    <row r="56" spans="1:15" ht="33.6" customHeight="1">
      <c r="A56" s="21">
        <v>50</v>
      </c>
      <c r="B56" s="22" t="s">
        <v>179</v>
      </c>
      <c r="C56" s="24" t="s">
        <v>180</v>
      </c>
      <c r="D56" s="23" t="s">
        <v>20</v>
      </c>
      <c r="E56" s="23" t="s">
        <v>21</v>
      </c>
      <c r="F56" s="52">
        <f t="shared" ca="1" si="0"/>
        <v>28.970521128045998</v>
      </c>
      <c r="G56" s="64" t="s">
        <v>181</v>
      </c>
      <c r="H56" s="24">
        <v>2021</v>
      </c>
      <c r="I56" s="24"/>
      <c r="J56" s="24"/>
      <c r="K56" s="56" t="s">
        <v>24</v>
      </c>
      <c r="L56" s="24" t="s">
        <v>43</v>
      </c>
      <c r="M56" s="25" t="s">
        <v>182</v>
      </c>
      <c r="N56" s="25"/>
      <c r="O56" s="28"/>
    </row>
    <row r="57" spans="1:15" ht="33.6" customHeight="1">
      <c r="A57" s="21">
        <v>51</v>
      </c>
      <c r="B57" s="22" t="s">
        <v>183</v>
      </c>
      <c r="C57" s="24" t="str">
        <f>VLOOKUP(B57,[1]Sheet1!$C$7:$D$41,2,0)</f>
        <v>13/11/1997</v>
      </c>
      <c r="D57" s="23" t="s">
        <v>20</v>
      </c>
      <c r="E57" s="23" t="s">
        <v>21</v>
      </c>
      <c r="F57" s="52">
        <f t="shared" ca="1" si="0"/>
        <v>28.90207173496395</v>
      </c>
      <c r="G57" s="24" t="str">
        <f>VLOOKUP(B57,[1]Sheet1!$C$7:$H$41,6,0)</f>
        <v>0988586273</v>
      </c>
      <c r="H57" s="24">
        <v>2025</v>
      </c>
      <c r="I57" s="24"/>
      <c r="J57" s="24"/>
      <c r="K57" s="24" t="s">
        <v>37</v>
      </c>
      <c r="L57" s="24" t="s">
        <v>43</v>
      </c>
      <c r="M57" s="25" t="s">
        <v>184</v>
      </c>
      <c r="N57" s="25"/>
      <c r="O57" s="28"/>
    </row>
    <row r="58" spans="1:15" ht="33.6" customHeight="1">
      <c r="A58" s="21">
        <v>52</v>
      </c>
      <c r="B58" s="22" t="s">
        <v>185</v>
      </c>
      <c r="C58" s="24" t="s">
        <v>186</v>
      </c>
      <c r="D58" s="23" t="s">
        <v>20</v>
      </c>
      <c r="E58" s="23" t="s">
        <v>21</v>
      </c>
      <c r="F58" s="52">
        <f t="shared" ca="1" si="0"/>
        <v>54.334710538105433</v>
      </c>
      <c r="G58" s="64" t="s">
        <v>187</v>
      </c>
      <c r="H58" s="24">
        <v>1995</v>
      </c>
      <c r="I58" s="24">
        <v>1</v>
      </c>
      <c r="J58" s="24"/>
      <c r="K58" s="24" t="s">
        <v>37</v>
      </c>
      <c r="L58" s="24" t="s">
        <v>43</v>
      </c>
      <c r="M58" s="25" t="s">
        <v>188</v>
      </c>
      <c r="N58" s="25" t="s">
        <v>189</v>
      </c>
      <c r="O58" s="28"/>
    </row>
    <row r="59" spans="1:15" ht="33.6" customHeight="1">
      <c r="A59" s="21">
        <v>53</v>
      </c>
      <c r="B59" s="32" t="s">
        <v>190</v>
      </c>
      <c r="C59" s="94" t="s">
        <v>191</v>
      </c>
      <c r="D59" s="23" t="s">
        <v>20</v>
      </c>
      <c r="E59" s="23" t="s">
        <v>21</v>
      </c>
      <c r="F59" s="52">
        <f t="shared" ca="1" si="0"/>
        <v>52.178634156421111</v>
      </c>
      <c r="G59" s="96" t="s">
        <v>192</v>
      </c>
      <c r="H59" s="21">
        <v>1993</v>
      </c>
      <c r="I59" s="21">
        <v>1</v>
      </c>
      <c r="J59" s="21"/>
      <c r="K59" s="24" t="s">
        <v>37</v>
      </c>
      <c r="L59" s="24" t="s">
        <v>43</v>
      </c>
      <c r="M59" s="25" t="s">
        <v>193</v>
      </c>
      <c r="N59" s="25"/>
      <c r="O59" s="28"/>
    </row>
    <row r="60" spans="1:15" ht="63.75" customHeight="1">
      <c r="A60" s="21">
        <v>54</v>
      </c>
      <c r="B60" s="32" t="s">
        <v>194</v>
      </c>
      <c r="C60" s="23">
        <v>32785</v>
      </c>
      <c r="D60" s="23" t="s">
        <v>20</v>
      </c>
      <c r="E60" s="23" t="s">
        <v>21</v>
      </c>
      <c r="F60" s="52">
        <f t="shared" ca="1" si="0"/>
        <v>37.011600259384679</v>
      </c>
      <c r="G60" s="96" t="s">
        <v>195</v>
      </c>
      <c r="H60" s="24">
        <v>2012</v>
      </c>
      <c r="I60" s="24">
        <v>1</v>
      </c>
      <c r="J60" s="24"/>
      <c r="K60" s="24" t="s">
        <v>37</v>
      </c>
      <c r="L60" s="24" t="s">
        <v>196</v>
      </c>
      <c r="M60" s="25" t="s">
        <v>197</v>
      </c>
      <c r="N60" s="25" t="s">
        <v>198</v>
      </c>
      <c r="O60" s="28"/>
    </row>
    <row r="61" spans="1:15" ht="35.25" customHeight="1">
      <c r="A61" s="21">
        <v>55</v>
      </c>
      <c r="B61" s="32" t="s">
        <v>199</v>
      </c>
      <c r="C61" s="23">
        <v>27158</v>
      </c>
      <c r="D61" s="23" t="s">
        <v>20</v>
      </c>
      <c r="E61" s="23" t="s">
        <v>21</v>
      </c>
      <c r="F61" s="52">
        <f t="shared" ca="1" si="0"/>
        <v>52.41683025105899</v>
      </c>
      <c r="G61" s="96" t="s">
        <v>200</v>
      </c>
      <c r="H61" s="24">
        <v>1993</v>
      </c>
      <c r="I61" s="24">
        <v>1</v>
      </c>
      <c r="J61" s="24"/>
      <c r="K61" s="24" t="s">
        <v>37</v>
      </c>
      <c r="L61" s="24" t="s">
        <v>43</v>
      </c>
      <c r="M61" s="25" t="s">
        <v>201</v>
      </c>
      <c r="N61" s="25" t="s">
        <v>202</v>
      </c>
      <c r="O61" s="28"/>
    </row>
    <row r="62" spans="1:15" ht="32.25" customHeight="1">
      <c r="A62" s="21">
        <v>56</v>
      </c>
      <c r="B62" s="32" t="s">
        <v>203</v>
      </c>
      <c r="C62" s="23">
        <v>27030</v>
      </c>
      <c r="D62" s="23" t="s">
        <v>20</v>
      </c>
      <c r="E62" s="23" t="s">
        <v>21</v>
      </c>
      <c r="F62" s="52">
        <f t="shared" ca="1" si="0"/>
        <v>52.767279677652645</v>
      </c>
      <c r="G62" s="96" t="s">
        <v>204</v>
      </c>
      <c r="H62" s="24">
        <v>1998</v>
      </c>
      <c r="I62" s="24"/>
      <c r="J62" s="24"/>
      <c r="K62" s="24" t="s">
        <v>37</v>
      </c>
      <c r="L62" s="24" t="s">
        <v>43</v>
      </c>
      <c r="M62" s="25" t="s">
        <v>205</v>
      </c>
      <c r="N62" s="25"/>
      <c r="O62" s="28"/>
    </row>
    <row r="63" spans="1:15" s="44" customFormat="1" ht="45" customHeight="1">
      <c r="A63" s="21">
        <v>57</v>
      </c>
      <c r="B63" s="32" t="s">
        <v>206</v>
      </c>
      <c r="C63" s="23">
        <v>28012</v>
      </c>
      <c r="D63" s="23" t="s">
        <v>20</v>
      </c>
      <c r="E63" s="23" t="s">
        <v>21</v>
      </c>
      <c r="F63" s="52">
        <f t="shared" ca="1" si="0"/>
        <v>50.077356667382439</v>
      </c>
      <c r="G63" s="96" t="s">
        <v>207</v>
      </c>
      <c r="H63" s="24">
        <v>1997</v>
      </c>
      <c r="I63" s="24">
        <v>1</v>
      </c>
      <c r="J63" s="24"/>
      <c r="K63" s="24" t="s">
        <v>37</v>
      </c>
      <c r="L63" s="24" t="s">
        <v>43</v>
      </c>
      <c r="M63" s="25" t="s">
        <v>208</v>
      </c>
      <c r="N63" s="25"/>
      <c r="O63" s="21"/>
    </row>
    <row r="64" spans="1:15" ht="47.45" customHeight="1">
      <c r="A64" s="21">
        <v>58</v>
      </c>
      <c r="B64" s="32" t="s">
        <v>209</v>
      </c>
      <c r="C64" s="23">
        <v>26988</v>
      </c>
      <c r="D64" s="23" t="s">
        <v>20</v>
      </c>
      <c r="E64" s="23" t="s">
        <v>21</v>
      </c>
      <c r="F64" s="52">
        <f t="shared" ca="1" si="0"/>
        <v>52.882928560563805</v>
      </c>
      <c r="G64" s="96" t="s">
        <v>210</v>
      </c>
      <c r="H64" s="24">
        <v>1994</v>
      </c>
      <c r="I64" s="24">
        <v>1</v>
      </c>
      <c r="J64" s="24"/>
      <c r="K64" s="24" t="s">
        <v>37</v>
      </c>
      <c r="L64" s="24" t="s">
        <v>43</v>
      </c>
      <c r="M64" s="25" t="s">
        <v>211</v>
      </c>
      <c r="N64" s="25"/>
      <c r="O64" s="28"/>
    </row>
    <row r="65" spans="1:16" ht="24.75" customHeight="1">
      <c r="A65" s="21">
        <v>59</v>
      </c>
      <c r="B65" s="32" t="s">
        <v>212</v>
      </c>
      <c r="C65" s="94" t="s">
        <v>213</v>
      </c>
      <c r="D65" s="23" t="s">
        <v>20</v>
      </c>
      <c r="E65" s="23" t="s">
        <v>21</v>
      </c>
      <c r="F65" s="52">
        <f t="shared" ca="1" si="0"/>
        <v>49.820002147305132</v>
      </c>
      <c r="G65" s="96" t="s">
        <v>214</v>
      </c>
      <c r="H65" s="24">
        <v>1996</v>
      </c>
      <c r="I65" s="24">
        <v>1</v>
      </c>
      <c r="J65" s="24" t="s">
        <v>23</v>
      </c>
      <c r="K65" s="24" t="s">
        <v>37</v>
      </c>
      <c r="L65" s="24" t="s">
        <v>43</v>
      </c>
      <c r="M65" s="25" t="s">
        <v>215</v>
      </c>
      <c r="N65" s="25"/>
      <c r="O65" s="28"/>
    </row>
    <row r="66" spans="1:16" ht="36" customHeight="1">
      <c r="A66" s="21">
        <v>60</v>
      </c>
      <c r="B66" s="22" t="s">
        <v>216</v>
      </c>
      <c r="C66" s="24" t="str">
        <f>VLOOKUP(B66,[1]Sheet1!$C$7:$D$41,2,0)</f>
        <v>22/03/1995</v>
      </c>
      <c r="D66" s="23" t="s">
        <v>20</v>
      </c>
      <c r="E66" s="23" t="s">
        <v>21</v>
      </c>
      <c r="F66" s="52">
        <f t="shared" ca="1" si="0"/>
        <v>31.548254620123203</v>
      </c>
      <c r="G66" s="24" t="str">
        <f>VLOOKUP(B66,[1]Sheet1!$C$7:$H$41,6,0)</f>
        <v>0399798541</v>
      </c>
      <c r="H66" s="24">
        <v>2020</v>
      </c>
      <c r="I66" s="24">
        <v>1</v>
      </c>
      <c r="J66" s="24"/>
      <c r="K66" s="24" t="s">
        <v>37</v>
      </c>
      <c r="L66" s="24" t="s">
        <v>217</v>
      </c>
      <c r="M66" s="25" t="s">
        <v>218</v>
      </c>
      <c r="N66" s="25"/>
      <c r="O66" s="28"/>
    </row>
    <row r="67" spans="1:16" ht="30.75" customHeight="1">
      <c r="A67" s="21">
        <v>61</v>
      </c>
      <c r="B67" s="22" t="s">
        <v>219</v>
      </c>
      <c r="C67" s="24" t="str">
        <f>VLOOKUP(B67,[1]Sheet1!$C$7:$D$41,2,0)</f>
        <v>11/06/1993</v>
      </c>
      <c r="D67" s="23" t="s">
        <v>20</v>
      </c>
      <c r="E67" s="23" t="s">
        <v>21</v>
      </c>
      <c r="F67" s="52">
        <f t="shared" ca="1" si="0"/>
        <v>33.326461588017395</v>
      </c>
      <c r="G67" s="24" t="str">
        <f>VLOOKUP(B67,[1]Sheet1!$C$7:$H$41,6,0)</f>
        <v>0977316173</v>
      </c>
      <c r="H67" s="24">
        <v>2014</v>
      </c>
      <c r="I67" s="24">
        <v>1</v>
      </c>
      <c r="J67" s="24"/>
      <c r="K67" s="24" t="s">
        <v>37</v>
      </c>
      <c r="L67" s="24" t="s">
        <v>43</v>
      </c>
      <c r="M67" s="25" t="s">
        <v>220</v>
      </c>
      <c r="N67" s="25" t="s">
        <v>221</v>
      </c>
      <c r="O67" s="28"/>
    </row>
    <row r="68" spans="1:16" ht="30.75" customHeight="1">
      <c r="A68" s="21">
        <v>62</v>
      </c>
      <c r="B68" s="22" t="s">
        <v>222</v>
      </c>
      <c r="C68" s="24" t="str">
        <f>VLOOKUP(B68,[1]Sheet1!$C$7:$D$41,2,0)</f>
        <v>09/10/2002</v>
      </c>
      <c r="D68" s="23" t="s">
        <v>20</v>
      </c>
      <c r="E68" s="23" t="s">
        <v>21</v>
      </c>
      <c r="F68" s="52">
        <f t="shared" ca="1" si="0"/>
        <v>23.997919176431935</v>
      </c>
      <c r="G68" s="24" t="str">
        <f>VLOOKUP(B68,[1]Sheet1!$C$7:$H$41,6,0)</f>
        <v>0394873358</v>
      </c>
      <c r="H68" s="24">
        <v>2025</v>
      </c>
      <c r="I68" s="24"/>
      <c r="J68" s="24"/>
      <c r="K68" s="24" t="s">
        <v>37</v>
      </c>
      <c r="L68" s="24" t="s">
        <v>43</v>
      </c>
      <c r="M68" s="25" t="s">
        <v>223</v>
      </c>
      <c r="N68" s="25"/>
      <c r="O68" s="28"/>
    </row>
    <row r="69" spans="1:16" ht="30.75" customHeight="1">
      <c r="A69" s="21">
        <v>63</v>
      </c>
      <c r="B69" s="22" t="s">
        <v>224</v>
      </c>
      <c r="C69" s="24" t="str">
        <f>VLOOKUP(B69,[1]Sheet1!$C$7:$D$41,2,0)</f>
        <v>06/08/1986</v>
      </c>
      <c r="D69" s="23" t="s">
        <v>20</v>
      </c>
      <c r="E69" s="23" t="s">
        <v>21</v>
      </c>
      <c r="F69" s="52">
        <f t="shared" ca="1" si="0"/>
        <v>40.173155258764609</v>
      </c>
      <c r="G69" s="24" t="str">
        <f>VLOOKUP(B69,[1]Sheet1!$C$7:$H$41,6,0)</f>
        <v>0988307119</v>
      </c>
      <c r="H69" s="24">
        <v>2023</v>
      </c>
      <c r="I69" s="24"/>
      <c r="J69" s="24"/>
      <c r="K69" s="56" t="s">
        <v>24</v>
      </c>
      <c r="L69" s="24" t="s">
        <v>43</v>
      </c>
      <c r="M69" s="25" t="s">
        <v>225</v>
      </c>
      <c r="N69" s="25"/>
      <c r="O69" s="28"/>
    </row>
    <row r="70" spans="1:16" ht="60" customHeight="1">
      <c r="A70" s="21">
        <v>64</v>
      </c>
      <c r="B70" s="32" t="s">
        <v>226</v>
      </c>
      <c r="C70" s="23">
        <v>27554</v>
      </c>
      <c r="D70" s="23" t="s">
        <v>20</v>
      </c>
      <c r="E70" s="23" t="s">
        <v>21</v>
      </c>
      <c r="F70" s="52">
        <f t="shared" ca="1" si="0"/>
        <v>51.331964407939765</v>
      </c>
      <c r="G70" s="96" t="s">
        <v>227</v>
      </c>
      <c r="H70" s="21">
        <v>2003</v>
      </c>
      <c r="I70" s="21">
        <v>1</v>
      </c>
      <c r="J70" s="21"/>
      <c r="K70" s="24" t="s">
        <v>37</v>
      </c>
      <c r="L70" s="24" t="s">
        <v>43</v>
      </c>
      <c r="M70" s="106" t="s">
        <v>460</v>
      </c>
      <c r="N70" s="35" t="s">
        <v>229</v>
      </c>
      <c r="O70" s="28"/>
    </row>
    <row r="71" spans="1:16" ht="80.25" customHeight="1">
      <c r="A71" s="21">
        <v>65</v>
      </c>
      <c r="B71" s="32" t="s">
        <v>230</v>
      </c>
      <c r="C71" s="23">
        <v>26873</v>
      </c>
      <c r="D71" s="23" t="s">
        <v>20</v>
      </c>
      <c r="E71" s="23" t="s">
        <v>21</v>
      </c>
      <c r="F71" s="52">
        <f t="shared" ca="1" si="0"/>
        <v>53.197789382953907</v>
      </c>
      <c r="G71" s="96" t="s">
        <v>231</v>
      </c>
      <c r="H71" s="21">
        <v>1994</v>
      </c>
      <c r="I71" s="21"/>
      <c r="J71" s="21"/>
      <c r="K71" s="24" t="s">
        <v>37</v>
      </c>
      <c r="L71" s="24" t="s">
        <v>43</v>
      </c>
      <c r="M71" s="106" t="s">
        <v>461</v>
      </c>
      <c r="N71" s="35"/>
      <c r="O71" s="28"/>
    </row>
    <row r="72" spans="1:16" ht="46.5" customHeight="1">
      <c r="A72" s="21">
        <v>66</v>
      </c>
      <c r="B72" s="32" t="s">
        <v>233</v>
      </c>
      <c r="C72" s="23">
        <v>36808</v>
      </c>
      <c r="D72" s="23" t="s">
        <v>20</v>
      </c>
      <c r="E72" s="23" t="s">
        <v>21</v>
      </c>
      <c r="F72" s="52">
        <f t="shared" ca="1" si="0"/>
        <v>25.995234232407221</v>
      </c>
      <c r="G72" s="96" t="s">
        <v>234</v>
      </c>
      <c r="H72" s="21">
        <v>2023</v>
      </c>
      <c r="I72" s="21">
        <v>1</v>
      </c>
      <c r="J72" s="21"/>
      <c r="K72" s="21" t="s">
        <v>24</v>
      </c>
      <c r="L72" s="24" t="s">
        <v>43</v>
      </c>
      <c r="M72" s="106" t="s">
        <v>427</v>
      </c>
      <c r="N72" s="35"/>
      <c r="O72" s="28"/>
    </row>
    <row r="73" spans="1:16" ht="102.75" customHeight="1">
      <c r="A73" s="21">
        <v>67</v>
      </c>
      <c r="B73" s="22" t="s">
        <v>235</v>
      </c>
      <c r="C73" s="24" t="s">
        <v>236</v>
      </c>
      <c r="D73" s="23" t="s">
        <v>20</v>
      </c>
      <c r="E73" s="23" t="s">
        <v>21</v>
      </c>
      <c r="F73" s="52">
        <f t="shared" ref="F73:F117" ca="1" si="1">YEARFRAC(C73,TODAY(),1)</f>
        <v>25.75358045492839</v>
      </c>
      <c r="G73" s="66" t="s">
        <v>237</v>
      </c>
      <c r="H73" s="21">
        <v>2025</v>
      </c>
      <c r="I73" s="21"/>
      <c r="J73" s="21"/>
      <c r="K73" s="24" t="s">
        <v>37</v>
      </c>
      <c r="L73" s="21" t="s">
        <v>43</v>
      </c>
      <c r="M73" s="31" t="s">
        <v>462</v>
      </c>
      <c r="N73" s="35"/>
      <c r="O73" s="28"/>
    </row>
    <row r="74" spans="1:16" ht="34.5" customHeight="1">
      <c r="A74" s="21">
        <v>68</v>
      </c>
      <c r="B74" s="22" t="s">
        <v>238</v>
      </c>
      <c r="C74" s="24" t="s">
        <v>239</v>
      </c>
      <c r="D74" s="23" t="s">
        <v>20</v>
      </c>
      <c r="E74" s="23" t="s">
        <v>21</v>
      </c>
      <c r="F74" s="52">
        <f t="shared" ca="1" si="1"/>
        <v>29.668704937482886</v>
      </c>
      <c r="G74" s="67" t="s">
        <v>240</v>
      </c>
      <c r="H74" s="21">
        <v>2025</v>
      </c>
      <c r="I74" s="21"/>
      <c r="J74" s="21"/>
      <c r="K74" s="24" t="s">
        <v>37</v>
      </c>
      <c r="L74" s="21" t="s">
        <v>43</v>
      </c>
      <c r="M74" s="42" t="s">
        <v>241</v>
      </c>
      <c r="N74" s="28"/>
      <c r="O74" s="28"/>
    </row>
    <row r="75" spans="1:16" ht="34.5" customHeight="1">
      <c r="A75" s="21">
        <v>69</v>
      </c>
      <c r="B75" s="22" t="s">
        <v>242</v>
      </c>
      <c r="C75" s="27">
        <v>37348</v>
      </c>
      <c r="D75" s="23" t="s">
        <v>20</v>
      </c>
      <c r="E75" s="23" t="s">
        <v>21</v>
      </c>
      <c r="F75" s="52">
        <f t="shared" ca="1" si="1"/>
        <v>24.518125068448143</v>
      </c>
      <c r="G75" s="98" t="s">
        <v>243</v>
      </c>
      <c r="H75" s="21">
        <v>2025</v>
      </c>
      <c r="I75" s="21"/>
      <c r="J75" s="21"/>
      <c r="K75" s="24" t="s">
        <v>37</v>
      </c>
      <c r="L75" s="21" t="s">
        <v>43</v>
      </c>
      <c r="M75" s="42" t="s">
        <v>463</v>
      </c>
      <c r="N75" s="28"/>
      <c r="O75" s="28"/>
    </row>
    <row r="76" spans="1:16" ht="52.5" customHeight="1">
      <c r="A76" s="21">
        <v>70</v>
      </c>
      <c r="B76" s="32" t="s">
        <v>245</v>
      </c>
      <c r="C76" s="23">
        <v>23991</v>
      </c>
      <c r="D76" s="23" t="s">
        <v>246</v>
      </c>
      <c r="E76" s="23" t="s">
        <v>21</v>
      </c>
      <c r="F76" s="52">
        <f t="shared" ca="1" si="1"/>
        <v>61.088275557518216</v>
      </c>
      <c r="G76" s="96" t="s">
        <v>247</v>
      </c>
      <c r="H76" s="24">
        <v>1990</v>
      </c>
      <c r="I76" s="24">
        <v>1</v>
      </c>
      <c r="J76" s="24"/>
      <c r="K76" s="24" t="s">
        <v>37</v>
      </c>
      <c r="L76" s="24" t="s">
        <v>248</v>
      </c>
      <c r="M76" s="25" t="s">
        <v>415</v>
      </c>
      <c r="N76" s="25" t="s">
        <v>249</v>
      </c>
      <c r="O76" s="28"/>
    </row>
    <row r="77" spans="1:16" ht="52.5" customHeight="1">
      <c r="A77" s="21">
        <v>71</v>
      </c>
      <c r="B77" s="32" t="s">
        <v>250</v>
      </c>
      <c r="C77" s="23">
        <v>31344</v>
      </c>
      <c r="D77" s="23" t="s">
        <v>20</v>
      </c>
      <c r="E77" s="23" t="s">
        <v>21</v>
      </c>
      <c r="F77" s="52">
        <f t="shared" ca="1" si="1"/>
        <v>40.956844850065188</v>
      </c>
      <c r="G77" s="96" t="s">
        <v>251</v>
      </c>
      <c r="H77" s="21">
        <v>2006</v>
      </c>
      <c r="I77" s="21">
        <v>1</v>
      </c>
      <c r="J77" s="21"/>
      <c r="K77" s="24" t="s">
        <v>37</v>
      </c>
      <c r="L77" s="24" t="s">
        <v>248</v>
      </c>
      <c r="M77" s="25" t="s">
        <v>414</v>
      </c>
      <c r="N77" s="25"/>
      <c r="O77" s="28"/>
    </row>
    <row r="78" spans="1:16" ht="68.25" customHeight="1">
      <c r="A78" s="21">
        <v>72</v>
      </c>
      <c r="B78" s="22" t="s">
        <v>252</v>
      </c>
      <c r="C78" s="24" t="s">
        <v>253</v>
      </c>
      <c r="D78" s="23" t="s">
        <v>20</v>
      </c>
      <c r="E78" s="23" t="s">
        <v>21</v>
      </c>
      <c r="F78" s="52">
        <f t="shared" ca="1" si="1"/>
        <v>50.356613699806744</v>
      </c>
      <c r="G78" s="67" t="s">
        <v>254</v>
      </c>
      <c r="H78" s="21">
        <v>2007</v>
      </c>
      <c r="I78" s="21"/>
      <c r="J78" s="21"/>
      <c r="K78" s="24" t="s">
        <v>37</v>
      </c>
      <c r="L78" s="24" t="s">
        <v>248</v>
      </c>
      <c r="M78" s="25" t="s">
        <v>413</v>
      </c>
      <c r="N78" s="28" t="s">
        <v>255</v>
      </c>
      <c r="O78" s="28"/>
    </row>
    <row r="79" spans="1:16" ht="52.5" customHeight="1">
      <c r="A79" s="21">
        <v>73</v>
      </c>
      <c r="B79" s="32" t="s">
        <v>256</v>
      </c>
      <c r="C79" s="23">
        <v>28380</v>
      </c>
      <c r="D79" s="23" t="s">
        <v>20</v>
      </c>
      <c r="E79" s="23" t="s">
        <v>21</v>
      </c>
      <c r="F79" s="52">
        <f t="shared" ca="1" si="1"/>
        <v>49.071843171613182</v>
      </c>
      <c r="G79" s="96" t="s">
        <v>257</v>
      </c>
      <c r="H79" s="21">
        <v>2009</v>
      </c>
      <c r="I79" s="21">
        <v>1</v>
      </c>
      <c r="J79" s="21"/>
      <c r="K79" s="24" t="s">
        <v>37</v>
      </c>
      <c r="L79" s="21" t="s">
        <v>258</v>
      </c>
      <c r="M79" s="25" t="s">
        <v>412</v>
      </c>
      <c r="N79" s="28"/>
      <c r="O79" s="28"/>
      <c r="P79" s="62"/>
    </row>
    <row r="80" spans="1:16" ht="52.5" customHeight="1">
      <c r="A80" s="21">
        <v>74</v>
      </c>
      <c r="B80" s="32" t="s">
        <v>259</v>
      </c>
      <c r="C80" s="23">
        <v>29773</v>
      </c>
      <c r="D80" s="23" t="s">
        <v>20</v>
      </c>
      <c r="E80" s="23" t="s">
        <v>21</v>
      </c>
      <c r="F80" s="52">
        <f t="shared" ca="1" si="1"/>
        <v>45.258020355931194</v>
      </c>
      <c r="G80" s="96" t="s">
        <v>260</v>
      </c>
      <c r="H80" s="21">
        <v>2003</v>
      </c>
      <c r="I80" s="21">
        <v>1</v>
      </c>
      <c r="J80" s="21"/>
      <c r="K80" s="24" t="s">
        <v>37</v>
      </c>
      <c r="L80" s="21" t="s">
        <v>258</v>
      </c>
      <c r="M80" s="25" t="s">
        <v>411</v>
      </c>
      <c r="N80" s="68"/>
      <c r="O80" s="68"/>
    </row>
    <row r="81" spans="1:15" ht="52.5" customHeight="1">
      <c r="A81" s="21">
        <v>75</v>
      </c>
      <c r="B81" s="32" t="s">
        <v>261</v>
      </c>
      <c r="C81" s="23">
        <v>32425</v>
      </c>
      <c r="D81" s="23" t="s">
        <v>20</v>
      </c>
      <c r="E81" s="23" t="s">
        <v>21</v>
      </c>
      <c r="F81" s="52">
        <f t="shared" ca="1" si="1"/>
        <v>37.995226395226396</v>
      </c>
      <c r="G81" s="96" t="s">
        <v>262</v>
      </c>
      <c r="H81" s="21">
        <v>2025</v>
      </c>
      <c r="I81" s="21"/>
      <c r="J81" s="21"/>
      <c r="K81" s="24" t="s">
        <v>37</v>
      </c>
      <c r="L81" s="21" t="s">
        <v>258</v>
      </c>
      <c r="M81" s="25" t="s">
        <v>410</v>
      </c>
      <c r="N81" s="69"/>
      <c r="O81" s="69"/>
    </row>
    <row r="82" spans="1:15" ht="52.5" customHeight="1">
      <c r="A82" s="21">
        <v>76</v>
      </c>
      <c r="B82" s="22" t="s">
        <v>226</v>
      </c>
      <c r="C82" s="24" t="s">
        <v>263</v>
      </c>
      <c r="D82" s="23" t="s">
        <v>20</v>
      </c>
      <c r="E82" s="23" t="s">
        <v>21</v>
      </c>
      <c r="F82" s="52">
        <f t="shared" ca="1" si="1"/>
        <v>45.899400011650258</v>
      </c>
      <c r="G82" s="70" t="s">
        <v>264</v>
      </c>
      <c r="H82" s="21">
        <v>2009</v>
      </c>
      <c r="I82" s="21"/>
      <c r="J82" s="21"/>
      <c r="K82" s="24" t="s">
        <v>37</v>
      </c>
      <c r="L82" s="21" t="s">
        <v>258</v>
      </c>
      <c r="M82" s="25" t="s">
        <v>409</v>
      </c>
      <c r="N82" s="28"/>
      <c r="O82" s="28"/>
    </row>
    <row r="83" spans="1:15" s="45" customFormat="1" ht="52.5" customHeight="1">
      <c r="A83" s="21">
        <v>77</v>
      </c>
      <c r="B83" s="71" t="s">
        <v>265</v>
      </c>
      <c r="C83" s="72">
        <v>31536</v>
      </c>
      <c r="D83" s="73" t="s">
        <v>20</v>
      </c>
      <c r="E83" s="73" t="s">
        <v>266</v>
      </c>
      <c r="F83" s="74">
        <f t="shared" ca="1" si="1"/>
        <v>40.430517529215358</v>
      </c>
      <c r="G83" s="99" t="s">
        <v>267</v>
      </c>
      <c r="H83" s="76"/>
      <c r="I83" s="76"/>
      <c r="J83" s="76"/>
      <c r="K83" s="75" t="s">
        <v>37</v>
      </c>
      <c r="L83" s="76" t="s">
        <v>258</v>
      </c>
      <c r="M83" s="113" t="s">
        <v>454</v>
      </c>
      <c r="N83" s="78"/>
      <c r="O83" s="79"/>
    </row>
    <row r="84" spans="1:15" s="45" customFormat="1" ht="52.5" customHeight="1">
      <c r="A84" s="21">
        <v>78</v>
      </c>
      <c r="B84" s="71" t="s">
        <v>268</v>
      </c>
      <c r="C84" s="72">
        <v>37707</v>
      </c>
      <c r="D84" s="73" t="s">
        <v>20</v>
      </c>
      <c r="E84" s="73" t="s">
        <v>266</v>
      </c>
      <c r="F84" s="74">
        <f t="shared" ca="1" si="1"/>
        <v>23.534565366187543</v>
      </c>
      <c r="G84" s="99" t="s">
        <v>269</v>
      </c>
      <c r="H84" s="76"/>
      <c r="I84" s="76"/>
      <c r="J84" s="76"/>
      <c r="K84" s="75" t="s">
        <v>37</v>
      </c>
      <c r="L84" s="76" t="s">
        <v>258</v>
      </c>
      <c r="M84" s="113" t="s">
        <v>407</v>
      </c>
      <c r="N84" s="78"/>
      <c r="O84" s="79"/>
    </row>
    <row r="85" spans="1:15" s="45" customFormat="1" ht="52.5" customHeight="1">
      <c r="A85" s="21">
        <v>79</v>
      </c>
      <c r="B85" s="71" t="s">
        <v>443</v>
      </c>
      <c r="C85" s="72">
        <v>36999</v>
      </c>
      <c r="D85" s="73" t="s">
        <v>20</v>
      </c>
      <c r="E85" s="73" t="s">
        <v>266</v>
      </c>
      <c r="F85" s="74">
        <f t="shared" ca="1" si="1"/>
        <v>25.474304970513902</v>
      </c>
      <c r="G85" s="99" t="s">
        <v>444</v>
      </c>
      <c r="H85" s="76">
        <v>2026</v>
      </c>
      <c r="I85" s="76"/>
      <c r="J85" s="76"/>
      <c r="K85" s="75" t="s">
        <v>37</v>
      </c>
      <c r="L85" s="76" t="s">
        <v>258</v>
      </c>
      <c r="M85" s="113" t="s">
        <v>455</v>
      </c>
      <c r="N85" s="78" t="s">
        <v>405</v>
      </c>
      <c r="O85" s="79"/>
    </row>
    <row r="86" spans="1:15" ht="52.5" customHeight="1" thickBot="1">
      <c r="A86" s="21">
        <v>80</v>
      </c>
      <c r="B86" s="32" t="s">
        <v>271</v>
      </c>
      <c r="C86" s="23">
        <v>30626</v>
      </c>
      <c r="D86" s="23" t="s">
        <v>20</v>
      </c>
      <c r="E86" s="23" t="s">
        <v>21</v>
      </c>
      <c r="F86" s="52">
        <f t="shared" ca="1" si="1"/>
        <v>42.921286789869953</v>
      </c>
      <c r="G86" s="96" t="s">
        <v>272</v>
      </c>
      <c r="H86" s="21">
        <v>2010</v>
      </c>
      <c r="I86" s="21"/>
      <c r="J86" s="21"/>
      <c r="K86" s="24" t="s">
        <v>37</v>
      </c>
      <c r="L86" s="21" t="s">
        <v>273</v>
      </c>
      <c r="M86" s="107" t="s">
        <v>416</v>
      </c>
      <c r="N86" s="28"/>
      <c r="O86" s="28"/>
    </row>
    <row r="87" spans="1:15" ht="52.5" customHeight="1" thickBot="1">
      <c r="A87" s="21">
        <v>81</v>
      </c>
      <c r="B87" s="32" t="s">
        <v>274</v>
      </c>
      <c r="C87" s="23">
        <v>32448</v>
      </c>
      <c r="D87" s="23" t="s">
        <v>246</v>
      </c>
      <c r="E87" s="23" t="s">
        <v>21</v>
      </c>
      <c r="F87" s="52">
        <f t="shared" ca="1" si="1"/>
        <v>37.932256932256934</v>
      </c>
      <c r="G87" s="96" t="s">
        <v>275</v>
      </c>
      <c r="H87" s="21">
        <v>2011</v>
      </c>
      <c r="I87" s="21">
        <v>1</v>
      </c>
      <c r="J87" s="24" t="s">
        <v>23</v>
      </c>
      <c r="K87" s="21" t="s">
        <v>24</v>
      </c>
      <c r="L87" s="21" t="s">
        <v>273</v>
      </c>
      <c r="M87" s="107" t="s">
        <v>417</v>
      </c>
      <c r="N87" s="28" t="s">
        <v>276</v>
      </c>
      <c r="O87" s="28"/>
    </row>
    <row r="88" spans="1:15" s="45" customFormat="1" ht="82.5" customHeight="1">
      <c r="A88" s="21">
        <v>82</v>
      </c>
      <c r="B88" s="80" t="s">
        <v>277</v>
      </c>
      <c r="C88" s="72">
        <v>37378</v>
      </c>
      <c r="D88" s="73" t="s">
        <v>20</v>
      </c>
      <c r="E88" s="73" t="s">
        <v>266</v>
      </c>
      <c r="F88" s="74">
        <f t="shared" ca="1" si="1"/>
        <v>24.435987296024532</v>
      </c>
      <c r="G88" s="99" t="s">
        <v>278</v>
      </c>
      <c r="H88" s="76"/>
      <c r="I88" s="76"/>
      <c r="J88" s="76"/>
      <c r="K88" s="75" t="s">
        <v>37</v>
      </c>
      <c r="L88" s="76" t="s">
        <v>273</v>
      </c>
      <c r="M88" s="116" t="s">
        <v>402</v>
      </c>
      <c r="N88" s="78"/>
      <c r="O88" s="79"/>
    </row>
    <row r="89" spans="1:15" s="45" customFormat="1" ht="67.5" customHeight="1">
      <c r="A89" s="21">
        <v>83</v>
      </c>
      <c r="B89" s="80" t="s">
        <v>279</v>
      </c>
      <c r="C89" s="72">
        <v>37629</v>
      </c>
      <c r="D89" s="73" t="s">
        <v>246</v>
      </c>
      <c r="E89" s="73" t="s">
        <v>266</v>
      </c>
      <c r="F89" s="74">
        <f t="shared" ca="1" si="1"/>
        <v>23.748117727583846</v>
      </c>
      <c r="G89" s="99" t="s">
        <v>280</v>
      </c>
      <c r="H89" s="76"/>
      <c r="I89" s="76"/>
      <c r="J89" s="76"/>
      <c r="K89" s="75" t="s">
        <v>37</v>
      </c>
      <c r="L89" s="109" t="s">
        <v>273</v>
      </c>
      <c r="M89" s="111" t="s">
        <v>403</v>
      </c>
      <c r="N89" s="110"/>
      <c r="O89" s="79"/>
    </row>
    <row r="90" spans="1:15" s="45" customFormat="1" ht="45.75" customHeight="1">
      <c r="A90" s="21">
        <v>84</v>
      </c>
      <c r="B90" s="80" t="s">
        <v>281</v>
      </c>
      <c r="C90" s="72">
        <v>35021</v>
      </c>
      <c r="D90" s="73" t="s">
        <v>246</v>
      </c>
      <c r="E90" s="73" t="s">
        <v>266</v>
      </c>
      <c r="F90" s="74">
        <f t="shared" ca="1" si="1"/>
        <v>30.888432580424368</v>
      </c>
      <c r="G90" s="99" t="s">
        <v>282</v>
      </c>
      <c r="H90" s="76"/>
      <c r="I90" s="76"/>
      <c r="J90" s="76"/>
      <c r="K90" s="75" t="s">
        <v>283</v>
      </c>
      <c r="L90" s="109" t="s">
        <v>273</v>
      </c>
      <c r="M90" s="115" t="s">
        <v>404</v>
      </c>
      <c r="N90" s="110"/>
      <c r="O90" s="79"/>
    </row>
    <row r="91" spans="1:15" s="45" customFormat="1" ht="45.75" customHeight="1">
      <c r="A91" s="21">
        <v>85</v>
      </c>
      <c r="B91" s="80" t="s">
        <v>284</v>
      </c>
      <c r="C91" s="72">
        <v>38012</v>
      </c>
      <c r="D91" s="73" t="s">
        <v>246</v>
      </c>
      <c r="E91" s="73" t="s">
        <v>266</v>
      </c>
      <c r="F91" s="74">
        <f t="shared" ca="1" si="1"/>
        <v>22.69884537555053</v>
      </c>
      <c r="G91" s="99" t="s">
        <v>285</v>
      </c>
      <c r="H91" s="76"/>
      <c r="I91" s="76"/>
      <c r="J91" s="76"/>
      <c r="K91" s="75" t="s">
        <v>37</v>
      </c>
      <c r="L91" s="109" t="s">
        <v>273</v>
      </c>
      <c r="M91" s="115" t="s">
        <v>406</v>
      </c>
      <c r="N91" s="110"/>
      <c r="O91" s="79"/>
    </row>
    <row r="92" spans="1:15" s="45" customFormat="1" ht="45.75" customHeight="1">
      <c r="A92" s="21">
        <v>86</v>
      </c>
      <c r="B92" s="80" t="s">
        <v>286</v>
      </c>
      <c r="C92" s="72">
        <v>37989</v>
      </c>
      <c r="D92" s="73" t="s">
        <v>20</v>
      </c>
      <c r="E92" s="73" t="s">
        <v>266</v>
      </c>
      <c r="F92" s="74">
        <f t="shared" ca="1" si="1"/>
        <v>22.761814069753601</v>
      </c>
      <c r="G92" s="99" t="s">
        <v>287</v>
      </c>
      <c r="H92" s="76"/>
      <c r="I92" s="76"/>
      <c r="J92" s="76"/>
      <c r="K92" s="75" t="s">
        <v>37</v>
      </c>
      <c r="L92" s="109" t="s">
        <v>273</v>
      </c>
      <c r="M92" s="115" t="s">
        <v>401</v>
      </c>
      <c r="N92" s="110"/>
      <c r="O92" s="79"/>
    </row>
    <row r="93" spans="1:15" ht="20.25" customHeight="1">
      <c r="A93" s="21">
        <v>87</v>
      </c>
      <c r="B93" s="32" t="s">
        <v>288</v>
      </c>
      <c r="C93" s="94" t="s">
        <v>289</v>
      </c>
      <c r="D93" s="23" t="s">
        <v>20</v>
      </c>
      <c r="E93" s="23" t="s">
        <v>21</v>
      </c>
      <c r="F93" s="52">
        <f t="shared" ca="1" si="1"/>
        <v>38.014391014391009</v>
      </c>
      <c r="G93" s="96" t="s">
        <v>290</v>
      </c>
      <c r="H93" s="21">
        <v>2011</v>
      </c>
      <c r="I93" s="21"/>
      <c r="J93" s="21"/>
      <c r="K93" s="24" t="s">
        <v>37</v>
      </c>
      <c r="L93" s="21" t="s">
        <v>291</v>
      </c>
      <c r="M93" s="42" t="s">
        <v>419</v>
      </c>
      <c r="N93" s="28"/>
      <c r="O93" s="28"/>
    </row>
    <row r="94" spans="1:15" ht="20.25" customHeight="1">
      <c r="A94" s="21">
        <v>88</v>
      </c>
      <c r="B94" s="32" t="s">
        <v>292</v>
      </c>
      <c r="C94" s="23">
        <v>30411</v>
      </c>
      <c r="D94" s="23" t="s">
        <v>20</v>
      </c>
      <c r="E94" s="23" t="s">
        <v>21</v>
      </c>
      <c r="F94" s="52">
        <f t="shared" ca="1" si="1"/>
        <v>43.509924709103352</v>
      </c>
      <c r="G94" s="96" t="s">
        <v>293</v>
      </c>
      <c r="H94" s="21">
        <v>2007</v>
      </c>
      <c r="I94" s="21">
        <v>1</v>
      </c>
      <c r="J94" s="21"/>
      <c r="K94" s="24" t="s">
        <v>37</v>
      </c>
      <c r="L94" s="21" t="s">
        <v>291</v>
      </c>
      <c r="M94" s="42" t="s">
        <v>418</v>
      </c>
      <c r="N94" s="28"/>
      <c r="O94" s="28"/>
    </row>
    <row r="95" spans="1:15" ht="85.5" customHeight="1">
      <c r="A95" s="21">
        <v>89</v>
      </c>
      <c r="B95" s="22" t="s">
        <v>294</v>
      </c>
      <c r="C95" s="24" t="s">
        <v>295</v>
      </c>
      <c r="D95" s="23" t="s">
        <v>20</v>
      </c>
      <c r="E95" s="23" t="s">
        <v>21</v>
      </c>
      <c r="F95" s="52">
        <f t="shared" ca="1" si="1"/>
        <v>27.839123867069485</v>
      </c>
      <c r="G95" s="67" t="s">
        <v>296</v>
      </c>
      <c r="H95" s="21">
        <v>2021</v>
      </c>
      <c r="I95" s="21"/>
      <c r="J95" s="21"/>
      <c r="K95" s="56" t="s">
        <v>24</v>
      </c>
      <c r="L95" s="21" t="s">
        <v>297</v>
      </c>
      <c r="M95" s="25" t="s">
        <v>420</v>
      </c>
      <c r="N95" s="81" t="s">
        <v>298</v>
      </c>
      <c r="O95" s="28"/>
    </row>
    <row r="96" spans="1:15" ht="20.25" customHeight="1">
      <c r="A96" s="21">
        <v>90</v>
      </c>
      <c r="B96" s="32" t="s">
        <v>299</v>
      </c>
      <c r="C96" s="23">
        <v>32158</v>
      </c>
      <c r="D96" s="23" t="s">
        <v>20</v>
      </c>
      <c r="E96" s="23" t="s">
        <v>21</v>
      </c>
      <c r="F96" s="52">
        <f t="shared" ca="1" si="1"/>
        <v>38.726219726219725</v>
      </c>
      <c r="G96" s="96" t="s">
        <v>300</v>
      </c>
      <c r="H96" s="21">
        <v>2021</v>
      </c>
      <c r="I96" s="21">
        <v>1</v>
      </c>
      <c r="J96" s="21"/>
      <c r="K96" s="21" t="s">
        <v>24</v>
      </c>
      <c r="L96" s="21" t="s">
        <v>301</v>
      </c>
      <c r="M96" s="42" t="s">
        <v>428</v>
      </c>
      <c r="N96" s="69"/>
      <c r="O96" s="69"/>
    </row>
    <row r="97" spans="1:15" s="45" customFormat="1" ht="77.25" customHeight="1">
      <c r="A97" s="21">
        <v>91</v>
      </c>
      <c r="B97" s="82" t="s">
        <v>302</v>
      </c>
      <c r="C97" s="73">
        <v>36795</v>
      </c>
      <c r="D97" s="73" t="s">
        <v>20</v>
      </c>
      <c r="E97" s="73" t="s">
        <v>266</v>
      </c>
      <c r="F97" s="52">
        <f t="shared" ca="1" si="1"/>
        <v>26.030825390387346</v>
      </c>
      <c r="G97" s="100" t="s">
        <v>303</v>
      </c>
      <c r="H97" s="76"/>
      <c r="I97" s="76"/>
      <c r="J97" s="76"/>
      <c r="K97" s="24" t="s">
        <v>37</v>
      </c>
      <c r="L97" s="76" t="s">
        <v>301</v>
      </c>
      <c r="M97" s="108" t="s">
        <v>400</v>
      </c>
      <c r="N97" s="78"/>
      <c r="O97" s="83"/>
    </row>
    <row r="98" spans="1:15" ht="20.25" customHeight="1">
      <c r="A98" s="21">
        <v>92</v>
      </c>
      <c r="B98" s="32" t="s">
        <v>304</v>
      </c>
      <c r="C98" s="23">
        <v>32439</v>
      </c>
      <c r="D98" s="23" t="s">
        <v>20</v>
      </c>
      <c r="E98" s="23" t="s">
        <v>21</v>
      </c>
      <c r="F98" s="52">
        <f t="shared" ca="1" si="1"/>
        <v>37.956897156897156</v>
      </c>
      <c r="G98" s="96" t="s">
        <v>305</v>
      </c>
      <c r="H98" s="21">
        <v>2011</v>
      </c>
      <c r="I98" s="21">
        <v>1</v>
      </c>
      <c r="J98" s="24" t="s">
        <v>23</v>
      </c>
      <c r="K98" s="24" t="s">
        <v>37</v>
      </c>
      <c r="L98" s="21" t="s">
        <v>306</v>
      </c>
      <c r="M98" s="42"/>
      <c r="N98" s="28"/>
      <c r="O98" s="28"/>
    </row>
    <row r="99" spans="1:15" ht="20.25" customHeight="1">
      <c r="A99" s="21">
        <v>93</v>
      </c>
      <c r="B99" s="32" t="s">
        <v>307</v>
      </c>
      <c r="C99" s="23">
        <v>30811</v>
      </c>
      <c r="D99" s="23" t="s">
        <v>20</v>
      </c>
      <c r="E99" s="23" t="s">
        <v>21</v>
      </c>
      <c r="F99" s="52">
        <f t="shared" ca="1" si="1"/>
        <v>42.414109257608558</v>
      </c>
      <c r="G99" s="96" t="s">
        <v>308</v>
      </c>
      <c r="H99" s="21">
        <v>2017</v>
      </c>
      <c r="I99" s="21"/>
      <c r="J99" s="21"/>
      <c r="K99" s="24" t="s">
        <v>37</v>
      </c>
      <c r="L99" s="21" t="s">
        <v>309</v>
      </c>
      <c r="M99" s="42" t="s">
        <v>310</v>
      </c>
      <c r="N99" s="28"/>
      <c r="O99" s="28"/>
    </row>
    <row r="100" spans="1:15" ht="20.25" customHeight="1">
      <c r="A100" s="21">
        <v>94</v>
      </c>
      <c r="B100" s="22" t="s">
        <v>311</v>
      </c>
      <c r="C100" s="24" t="s">
        <v>312</v>
      </c>
      <c r="D100" s="23" t="s">
        <v>246</v>
      </c>
      <c r="E100" s="23" t="s">
        <v>21</v>
      </c>
      <c r="F100" s="52">
        <f t="shared" ca="1" si="1"/>
        <v>55.288158795345652</v>
      </c>
      <c r="G100" s="67" t="s">
        <v>313</v>
      </c>
      <c r="H100" s="21">
        <v>1995</v>
      </c>
      <c r="I100" s="21">
        <v>1</v>
      </c>
      <c r="J100" s="21"/>
      <c r="K100" s="24" t="s">
        <v>37</v>
      </c>
      <c r="L100" s="21" t="s">
        <v>309</v>
      </c>
      <c r="M100" s="42" t="s">
        <v>310</v>
      </c>
      <c r="N100" s="28"/>
      <c r="O100" s="28"/>
    </row>
    <row r="101" spans="1:15" ht="39" customHeight="1">
      <c r="A101" s="21">
        <v>95</v>
      </c>
      <c r="B101" s="32" t="s">
        <v>314</v>
      </c>
      <c r="C101" s="23">
        <v>31193</v>
      </c>
      <c r="D101" s="23" t="s">
        <v>20</v>
      </c>
      <c r="E101" s="23" t="s">
        <v>21</v>
      </c>
      <c r="F101" s="52">
        <f t="shared" ca="1" si="1"/>
        <v>41.370273794002607</v>
      </c>
      <c r="G101" s="96" t="s">
        <v>315</v>
      </c>
      <c r="H101" s="21">
        <v>2011</v>
      </c>
      <c r="I101" s="21">
        <v>1</v>
      </c>
      <c r="J101" s="21"/>
      <c r="K101" s="24" t="s">
        <v>37</v>
      </c>
      <c r="L101" s="21" t="s">
        <v>316</v>
      </c>
      <c r="M101" s="25" t="s">
        <v>429</v>
      </c>
      <c r="N101" s="81" t="s">
        <v>317</v>
      </c>
      <c r="O101" s="28"/>
    </row>
    <row r="102" spans="1:15" ht="23.25" customHeight="1">
      <c r="A102" s="21">
        <v>96</v>
      </c>
      <c r="B102" s="32" t="s">
        <v>318</v>
      </c>
      <c r="C102" s="23">
        <v>28919</v>
      </c>
      <c r="D102" s="23" t="s">
        <v>20</v>
      </c>
      <c r="E102" s="23" t="s">
        <v>21</v>
      </c>
      <c r="F102" s="52">
        <f t="shared" ca="1" si="1"/>
        <v>47.59479808350445</v>
      </c>
      <c r="G102" s="96" t="s">
        <v>319</v>
      </c>
      <c r="H102" s="21">
        <v>2008</v>
      </c>
      <c r="I102" s="21">
        <v>1</v>
      </c>
      <c r="J102" s="21"/>
      <c r="K102" s="24" t="s">
        <v>320</v>
      </c>
      <c r="L102" s="21" t="s">
        <v>321</v>
      </c>
      <c r="M102" s="42" t="s">
        <v>435</v>
      </c>
      <c r="N102" s="28"/>
      <c r="O102" s="28"/>
    </row>
    <row r="103" spans="1:15" ht="39" customHeight="1">
      <c r="A103" s="21">
        <v>97</v>
      </c>
      <c r="B103" s="22" t="s">
        <v>323</v>
      </c>
      <c r="C103" s="24" t="s">
        <v>324</v>
      </c>
      <c r="D103" s="23" t="s">
        <v>20</v>
      </c>
      <c r="E103" s="23" t="s">
        <v>21</v>
      </c>
      <c r="F103" s="52">
        <f t="shared" ca="1" si="1"/>
        <v>44.863758109636329</v>
      </c>
      <c r="G103" s="67" t="s">
        <v>325</v>
      </c>
      <c r="H103" s="21">
        <v>2008</v>
      </c>
      <c r="I103" s="21"/>
      <c r="J103" s="21"/>
      <c r="K103" s="24" t="s">
        <v>37</v>
      </c>
      <c r="L103" s="21" t="s">
        <v>321</v>
      </c>
      <c r="M103" s="42" t="s">
        <v>434</v>
      </c>
      <c r="N103" s="81" t="s">
        <v>326</v>
      </c>
      <c r="O103" s="28"/>
    </row>
    <row r="104" spans="1:15" ht="24" customHeight="1">
      <c r="A104" s="21">
        <v>98</v>
      </c>
      <c r="B104" s="32" t="s">
        <v>327</v>
      </c>
      <c r="C104" s="23">
        <v>29811</v>
      </c>
      <c r="D104" s="23" t="s">
        <v>20</v>
      </c>
      <c r="E104" s="23" t="s">
        <v>21</v>
      </c>
      <c r="F104" s="52">
        <f t="shared" ca="1" si="1"/>
        <v>45.153978929825605</v>
      </c>
      <c r="G104" s="96" t="s">
        <v>328</v>
      </c>
      <c r="H104" s="21">
        <v>2009</v>
      </c>
      <c r="I104" s="21"/>
      <c r="J104" s="21"/>
      <c r="K104" s="24" t="s">
        <v>37</v>
      </c>
      <c r="L104" s="21" t="s">
        <v>329</v>
      </c>
      <c r="M104" s="42" t="s">
        <v>433</v>
      </c>
      <c r="N104" s="28"/>
      <c r="O104" s="28"/>
    </row>
    <row r="105" spans="1:15" ht="50.25" customHeight="1">
      <c r="A105" s="21">
        <v>99</v>
      </c>
      <c r="B105" s="32" t="s">
        <v>331</v>
      </c>
      <c r="C105" s="23">
        <v>33079</v>
      </c>
      <c r="D105" s="23" t="s">
        <v>20</v>
      </c>
      <c r="E105" s="23" t="s">
        <v>266</v>
      </c>
      <c r="F105" s="52">
        <f t="shared" ca="1" si="1"/>
        <v>36.206008583690988</v>
      </c>
      <c r="G105" s="96" t="s">
        <v>332</v>
      </c>
      <c r="H105" s="21">
        <v>2024</v>
      </c>
      <c r="I105" s="21"/>
      <c r="J105" s="21"/>
      <c r="K105" s="24" t="s">
        <v>37</v>
      </c>
      <c r="L105" s="21" t="s">
        <v>333</v>
      </c>
      <c r="M105" s="25" t="s">
        <v>430</v>
      </c>
      <c r="N105" s="28"/>
      <c r="O105" s="28"/>
    </row>
    <row r="106" spans="1:15" ht="44.25" customHeight="1">
      <c r="A106" s="21">
        <v>100</v>
      </c>
      <c r="B106" s="32" t="s">
        <v>334</v>
      </c>
      <c r="C106" s="23">
        <v>32052</v>
      </c>
      <c r="D106" s="23" t="s">
        <v>20</v>
      </c>
      <c r="E106" s="23" t="s">
        <v>266</v>
      </c>
      <c r="F106" s="52">
        <f t="shared" ca="1" si="1"/>
        <v>39.017111567419576</v>
      </c>
      <c r="G106" s="96" t="s">
        <v>335</v>
      </c>
      <c r="H106" s="21">
        <v>2025</v>
      </c>
      <c r="I106" s="21"/>
      <c r="J106" s="21"/>
      <c r="K106" s="21" t="s">
        <v>24</v>
      </c>
      <c r="L106" s="21" t="s">
        <v>333</v>
      </c>
      <c r="M106" s="25" t="s">
        <v>431</v>
      </c>
      <c r="N106" s="28"/>
      <c r="O106" s="28"/>
    </row>
    <row r="107" spans="1:15" ht="46.5" customHeight="1">
      <c r="A107" s="21">
        <v>101</v>
      </c>
      <c r="B107" s="22" t="s">
        <v>336</v>
      </c>
      <c r="C107" s="24" t="s">
        <v>337</v>
      </c>
      <c r="D107" s="23" t="s">
        <v>20</v>
      </c>
      <c r="E107" s="23" t="s">
        <v>266</v>
      </c>
      <c r="F107" s="52">
        <f t="shared" ca="1" si="1"/>
        <v>49.891185312432896</v>
      </c>
      <c r="G107" s="67" t="s">
        <v>338</v>
      </c>
      <c r="H107" s="21">
        <v>1999</v>
      </c>
      <c r="I107" s="21"/>
      <c r="J107" s="21"/>
      <c r="K107" s="24" t="s">
        <v>320</v>
      </c>
      <c r="L107" s="21" t="s">
        <v>333</v>
      </c>
      <c r="M107" s="114" t="s">
        <v>432</v>
      </c>
      <c r="N107" s="84"/>
      <c r="O107" s="84"/>
    </row>
    <row r="108" spans="1:15" s="46" customFormat="1" ht="38.25" customHeight="1">
      <c r="A108" s="21">
        <v>102</v>
      </c>
      <c r="B108" s="58" t="s">
        <v>339</v>
      </c>
      <c r="C108" s="85">
        <v>23882</v>
      </c>
      <c r="D108" s="23" t="s">
        <v>246</v>
      </c>
      <c r="E108" s="85" t="s">
        <v>453</v>
      </c>
      <c r="F108" s="52">
        <f t="shared" ca="1" si="1"/>
        <v>61.386707882534772</v>
      </c>
      <c r="G108" s="101" t="s">
        <v>340</v>
      </c>
      <c r="H108" s="53"/>
      <c r="I108" s="53"/>
      <c r="J108" s="53"/>
      <c r="K108" s="53"/>
      <c r="L108" s="86" t="s">
        <v>341</v>
      </c>
      <c r="M108" s="32"/>
      <c r="N108" s="87"/>
      <c r="O108" s="87"/>
    </row>
    <row r="109" spans="1:15" ht="39.75" customHeight="1">
      <c r="A109" s="21">
        <v>103</v>
      </c>
      <c r="B109" s="25" t="s">
        <v>342</v>
      </c>
      <c r="C109" s="27">
        <v>22283</v>
      </c>
      <c r="D109" s="23" t="s">
        <v>246</v>
      </c>
      <c r="E109" s="85" t="s">
        <v>453</v>
      </c>
      <c r="F109" s="52">
        <f t="shared" ca="1" si="1"/>
        <v>65.764539948560525</v>
      </c>
      <c r="G109" s="101" t="s">
        <v>343</v>
      </c>
      <c r="H109" s="21"/>
      <c r="I109" s="21"/>
      <c r="J109" s="21"/>
      <c r="K109" s="21"/>
      <c r="L109" s="24" t="s">
        <v>341</v>
      </c>
      <c r="M109" s="42"/>
      <c r="N109" s="28"/>
      <c r="O109" s="28"/>
    </row>
    <row r="110" spans="1:15" ht="41.25" customHeight="1">
      <c r="A110" s="21">
        <v>104</v>
      </c>
      <c r="B110" s="25" t="s">
        <v>344</v>
      </c>
      <c r="C110" s="27">
        <v>24749</v>
      </c>
      <c r="D110" s="23" t="s">
        <v>20</v>
      </c>
      <c r="E110" s="23" t="s">
        <v>266</v>
      </c>
      <c r="F110" s="52">
        <f t="shared" ca="1" si="1"/>
        <v>59.011635865845314</v>
      </c>
      <c r="G110" s="101" t="s">
        <v>345</v>
      </c>
      <c r="H110" s="21"/>
      <c r="I110" s="21"/>
      <c r="J110" s="21"/>
      <c r="K110" s="21"/>
      <c r="L110" s="24" t="s">
        <v>346</v>
      </c>
      <c r="M110" s="42"/>
      <c r="N110" s="28"/>
      <c r="O110" s="28"/>
    </row>
    <row r="111" spans="1:15" ht="40.5" customHeight="1">
      <c r="A111" s="21">
        <v>105</v>
      </c>
      <c r="B111" s="25" t="s">
        <v>347</v>
      </c>
      <c r="C111" s="27">
        <v>25868</v>
      </c>
      <c r="D111" s="23" t="s">
        <v>20</v>
      </c>
      <c r="E111" s="23" t="s">
        <v>266</v>
      </c>
      <c r="F111" s="52">
        <f t="shared" ca="1" si="1"/>
        <v>55.948652673039049</v>
      </c>
      <c r="G111" s="101" t="s">
        <v>348</v>
      </c>
      <c r="H111" s="21"/>
      <c r="I111" s="21"/>
      <c r="J111" s="21"/>
      <c r="K111" s="21"/>
      <c r="L111" s="24" t="s">
        <v>346</v>
      </c>
      <c r="M111" s="42"/>
      <c r="N111" s="28"/>
      <c r="O111" s="28"/>
    </row>
    <row r="112" spans="1:15" ht="30.75" customHeight="1">
      <c r="A112" s="21">
        <v>106</v>
      </c>
      <c r="B112" s="28" t="s">
        <v>349</v>
      </c>
      <c r="C112" s="88">
        <v>26230</v>
      </c>
      <c r="D112" s="23" t="s">
        <v>246</v>
      </c>
      <c r="E112" s="85" t="s">
        <v>453</v>
      </c>
      <c r="F112" s="52">
        <f t="shared" ca="1" si="1"/>
        <v>54.956878850102669</v>
      </c>
      <c r="G112" s="96" t="s">
        <v>350</v>
      </c>
      <c r="H112" s="21"/>
      <c r="I112" s="21"/>
      <c r="J112" s="21"/>
      <c r="K112" s="21"/>
      <c r="L112" s="21" t="s">
        <v>351</v>
      </c>
      <c r="M112" s="42"/>
      <c r="N112" s="28"/>
      <c r="O112" s="28"/>
    </row>
    <row r="113" spans="1:15" ht="30.75" customHeight="1">
      <c r="A113" s="21">
        <v>107</v>
      </c>
      <c r="B113" s="28" t="s">
        <v>352</v>
      </c>
      <c r="C113" s="88">
        <v>24513</v>
      </c>
      <c r="D113" s="23" t="s">
        <v>246</v>
      </c>
      <c r="E113" s="85" t="s">
        <v>453</v>
      </c>
      <c r="F113" s="52">
        <f t="shared" ca="1" si="1"/>
        <v>59.657768651608485</v>
      </c>
      <c r="G113" s="96" t="s">
        <v>353</v>
      </c>
      <c r="H113" s="21"/>
      <c r="I113" s="21"/>
      <c r="J113" s="21"/>
      <c r="K113" s="21"/>
      <c r="L113" s="21" t="s">
        <v>351</v>
      </c>
      <c r="M113" s="42"/>
      <c r="N113" s="28"/>
      <c r="O113" s="28"/>
    </row>
    <row r="114" spans="1:15" s="45" customFormat="1" ht="30.75" customHeight="1">
      <c r="A114" s="21">
        <v>108</v>
      </c>
      <c r="B114" s="89" t="s">
        <v>354</v>
      </c>
      <c r="C114" s="73">
        <v>24190</v>
      </c>
      <c r="D114" s="73" t="s">
        <v>246</v>
      </c>
      <c r="E114" s="85" t="s">
        <v>453</v>
      </c>
      <c r="F114" s="74">
        <f t="shared" ca="1" si="1"/>
        <v>60.542773788150811</v>
      </c>
      <c r="G114" s="100" t="s">
        <v>355</v>
      </c>
      <c r="H114" s="76"/>
      <c r="I114" s="76"/>
      <c r="J114" s="76"/>
      <c r="K114" s="76"/>
      <c r="L114" s="76" t="s">
        <v>351</v>
      </c>
      <c r="M114" s="77"/>
      <c r="N114" s="79"/>
      <c r="O114" s="79"/>
    </row>
    <row r="115" spans="1:15" s="45" customFormat="1" ht="30.75" customHeight="1">
      <c r="A115" s="21">
        <v>109</v>
      </c>
      <c r="B115" s="90" t="s">
        <v>356</v>
      </c>
      <c r="C115" s="91">
        <v>25878</v>
      </c>
      <c r="D115" s="73" t="s">
        <v>20</v>
      </c>
      <c r="E115" s="73" t="s">
        <v>266</v>
      </c>
      <c r="F115" s="74">
        <f t="shared" ca="1" si="1"/>
        <v>55.921273836399443</v>
      </c>
      <c r="G115" s="100" t="s">
        <v>357</v>
      </c>
      <c r="H115" s="76"/>
      <c r="I115" s="76"/>
      <c r="J115" s="76"/>
      <c r="K115" s="76"/>
      <c r="L115" s="76" t="s">
        <v>358</v>
      </c>
      <c r="M115" s="77"/>
      <c r="N115" s="79"/>
      <c r="O115" s="79"/>
    </row>
    <row r="116" spans="1:15" ht="30.75" customHeight="1">
      <c r="A116" s="21">
        <v>110</v>
      </c>
      <c r="B116" s="87" t="s">
        <v>359</v>
      </c>
      <c r="C116" s="88">
        <v>23016</v>
      </c>
      <c r="D116" s="23" t="s">
        <v>20</v>
      </c>
      <c r="E116" s="23" t="s">
        <v>266</v>
      </c>
      <c r="F116" s="52">
        <f t="shared" ca="1" si="1"/>
        <v>63.756331279945243</v>
      </c>
      <c r="G116" s="96" t="s">
        <v>360</v>
      </c>
      <c r="H116" s="21"/>
      <c r="I116" s="21"/>
      <c r="J116" s="21"/>
      <c r="K116" s="21"/>
      <c r="L116" s="21" t="s">
        <v>358</v>
      </c>
      <c r="M116" s="42"/>
      <c r="N116" s="28"/>
      <c r="O116" s="28"/>
    </row>
    <row r="117" spans="1:15" ht="30.75" customHeight="1">
      <c r="A117" s="21">
        <v>111</v>
      </c>
      <c r="B117" s="87" t="s">
        <v>361</v>
      </c>
      <c r="C117" s="88">
        <v>24735</v>
      </c>
      <c r="D117" s="23" t="s">
        <v>20</v>
      </c>
      <c r="E117" s="23" t="s">
        <v>266</v>
      </c>
      <c r="F117" s="52">
        <f t="shared" ca="1" si="1"/>
        <v>59.049965776865157</v>
      </c>
      <c r="G117" s="96" t="s">
        <v>362</v>
      </c>
      <c r="H117" s="21"/>
      <c r="I117" s="21"/>
      <c r="J117" s="21"/>
      <c r="K117" s="21"/>
      <c r="L117" s="21" t="s">
        <v>358</v>
      </c>
      <c r="M117" s="42"/>
      <c r="N117" s="28"/>
      <c r="O117" s="28"/>
    </row>
    <row r="118" spans="1:15" ht="13.5" customHeight="1">
      <c r="A118" s="21"/>
      <c r="B118" s="28"/>
      <c r="C118" s="28"/>
      <c r="D118" s="28"/>
      <c r="E118" s="28"/>
      <c r="F118" s="52"/>
      <c r="G118" s="33"/>
      <c r="H118" s="33"/>
      <c r="I118" s="26">
        <f>SUM(I7:I117)</f>
        <v>59</v>
      </c>
      <c r="J118" s="26"/>
      <c r="K118" s="33"/>
      <c r="L118" s="33"/>
      <c r="M118" s="28"/>
      <c r="N118" s="28"/>
      <c r="O118" s="28"/>
    </row>
    <row r="119" spans="1:15" ht="20.25" hidden="1" customHeight="1">
      <c r="F119" s="92"/>
      <c r="G119" s="15" t="s">
        <v>363</v>
      </c>
      <c r="I119" s="15">
        <v>1</v>
      </c>
    </row>
    <row r="120" spans="1:15" ht="20.25" hidden="1" customHeight="1">
      <c r="I120" s="13">
        <f>SUM(I118:I119)</f>
        <v>60</v>
      </c>
      <c r="J120" s="13"/>
    </row>
    <row r="122" spans="1:15" ht="20.25" customHeight="1">
      <c r="M122" s="183" t="s">
        <v>438</v>
      </c>
      <c r="N122" s="183"/>
      <c r="O122" s="183"/>
    </row>
    <row r="123" spans="1:15" ht="20.25" customHeight="1">
      <c r="M123" s="184" t="s">
        <v>439</v>
      </c>
      <c r="N123" s="184"/>
      <c r="O123" s="184"/>
    </row>
    <row r="127" spans="1:15" ht="20.25" customHeight="1">
      <c r="M127" s="184" t="s">
        <v>19</v>
      </c>
      <c r="N127" s="184"/>
      <c r="O127" s="184"/>
    </row>
    <row r="129" spans="1:15" ht="20.25" hidden="1" customHeight="1">
      <c r="A129" s="21">
        <v>82</v>
      </c>
      <c r="B129" s="25" t="s">
        <v>364</v>
      </c>
      <c r="C129" s="27">
        <v>38084</v>
      </c>
      <c r="D129" s="23" t="s">
        <v>246</v>
      </c>
      <c r="E129" s="23"/>
      <c r="F129" s="52">
        <f ca="1">YEARFRAC(C129,TODAY(),1)</f>
        <v>22.501725985001787</v>
      </c>
      <c r="G129" s="101" t="s">
        <v>365</v>
      </c>
      <c r="H129" s="21"/>
      <c r="I129" s="21"/>
      <c r="J129" s="21"/>
      <c r="K129" s="21" t="s">
        <v>37</v>
      </c>
      <c r="L129" s="21" t="s">
        <v>273</v>
      </c>
      <c r="M129" s="42"/>
      <c r="N129" s="93" t="s">
        <v>366</v>
      </c>
      <c r="O129" s="28"/>
    </row>
  </sheetData>
  <autoFilter ref="A6:X120"/>
  <mergeCells count="8">
    <mergeCell ref="M122:O122"/>
    <mergeCell ref="M123:O123"/>
    <mergeCell ref="M127:O127"/>
    <mergeCell ref="A1:H1"/>
    <mergeCell ref="L1:M1"/>
    <mergeCell ref="A2:H2"/>
    <mergeCell ref="A3:O3"/>
    <mergeCell ref="A4:O4"/>
  </mergeCells>
  <pageMargins left="0.4" right="0.18" top="0.21" bottom="0.2" header="0.2" footer="0.2"/>
  <pageSetup scale="65" fitToWidth="0"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9"/>
  <sheetViews>
    <sheetView topLeftCell="A103" workbookViewId="0">
      <selection activeCell="F108" sqref="F108:F109"/>
    </sheetView>
  </sheetViews>
  <sheetFormatPr defaultColWidth="9.33203125" defaultRowHeight="20.25" customHeight="1"/>
  <cols>
    <col min="1" max="1" width="7" style="117" customWidth="1"/>
    <col min="2" max="2" width="35.83203125" style="14" customWidth="1"/>
    <col min="3" max="3" width="15.33203125" style="14" customWidth="1"/>
    <col min="4" max="4" width="32.1640625" style="117" customWidth="1"/>
    <col min="5" max="5" width="30.5" style="117" customWidth="1"/>
    <col min="6" max="6" width="20.6640625" style="14" customWidth="1"/>
    <col min="7" max="7" width="26.83203125" style="14" customWidth="1"/>
    <col min="8" max="8" width="11.33203125" style="14" customWidth="1"/>
    <col min="9" max="28" width="9.33203125" style="14" customWidth="1"/>
    <col min="29" max="16384" width="9.33203125" style="14"/>
  </cols>
  <sheetData>
    <row r="1" spans="1:7" ht="23.25" customHeight="1">
      <c r="A1" s="185" t="s">
        <v>0</v>
      </c>
      <c r="B1" s="185"/>
      <c r="C1" s="185"/>
      <c r="D1" s="185"/>
      <c r="E1" s="181"/>
    </row>
    <row r="2" spans="1:7" ht="27.75" customHeight="1">
      <c r="A2" s="187" t="s">
        <v>1</v>
      </c>
      <c r="B2" s="187"/>
      <c r="C2" s="187"/>
      <c r="D2" s="187"/>
      <c r="E2" s="119"/>
    </row>
    <row r="3" spans="1:7" ht="24" customHeight="1">
      <c r="A3" s="190" t="s">
        <v>465</v>
      </c>
      <c r="B3" s="190"/>
      <c r="C3" s="190"/>
      <c r="D3" s="190"/>
      <c r="E3" s="190"/>
      <c r="F3" s="190"/>
    </row>
    <row r="4" spans="1:7" ht="24.75" customHeight="1">
      <c r="A4" s="189" t="s">
        <v>3</v>
      </c>
      <c r="B4" s="189"/>
      <c r="C4" s="189"/>
      <c r="D4" s="189"/>
      <c r="E4" s="189"/>
      <c r="F4" s="189"/>
    </row>
    <row r="5" spans="1:7" ht="11.25" customHeight="1">
      <c r="A5" s="19"/>
      <c r="B5" s="19"/>
      <c r="C5" s="19"/>
      <c r="D5" s="19"/>
      <c r="E5" s="19"/>
      <c r="F5" s="19"/>
    </row>
    <row r="6" spans="1:7" s="128" customFormat="1" ht="30" customHeight="1">
      <c r="A6" s="179" t="s">
        <v>4</v>
      </c>
      <c r="B6" s="179" t="s">
        <v>5</v>
      </c>
      <c r="C6" s="180" t="s">
        <v>6</v>
      </c>
      <c r="D6" s="180" t="s">
        <v>10</v>
      </c>
      <c r="E6" s="180" t="s">
        <v>15</v>
      </c>
      <c r="F6" s="179" t="s">
        <v>18</v>
      </c>
    </row>
    <row r="7" spans="1:7" s="128" customFormat="1" ht="36.75" customHeight="1">
      <c r="A7" s="121">
        <v>1</v>
      </c>
      <c r="B7" s="122" t="s">
        <v>19</v>
      </c>
      <c r="C7" s="123">
        <v>30212</v>
      </c>
      <c r="D7" s="124" t="s">
        <v>22</v>
      </c>
      <c r="E7" s="125" t="s">
        <v>440</v>
      </c>
      <c r="F7" s="127"/>
    </row>
    <row r="8" spans="1:7" s="132" customFormat="1" ht="36.75" customHeight="1">
      <c r="A8" s="121">
        <v>2</v>
      </c>
      <c r="B8" s="122" t="s">
        <v>27</v>
      </c>
      <c r="C8" s="129">
        <v>28144</v>
      </c>
      <c r="D8" s="130" t="s">
        <v>28</v>
      </c>
      <c r="E8" s="125" t="s">
        <v>441</v>
      </c>
      <c r="F8" s="131"/>
    </row>
    <row r="9" spans="1:7" s="132" customFormat="1" ht="36.75" customHeight="1">
      <c r="A9" s="121">
        <v>3</v>
      </c>
      <c r="B9" s="133" t="s">
        <v>31</v>
      </c>
      <c r="C9" s="123">
        <v>34132</v>
      </c>
      <c r="D9" s="124" t="s">
        <v>32</v>
      </c>
      <c r="E9" s="125" t="s">
        <v>441</v>
      </c>
      <c r="F9" s="131"/>
    </row>
    <row r="10" spans="1:7" s="132" customFormat="1" ht="36.75" customHeight="1">
      <c r="A10" s="121">
        <v>4</v>
      </c>
      <c r="B10" s="182" t="s">
        <v>446</v>
      </c>
      <c r="C10" s="123">
        <v>24102</v>
      </c>
      <c r="D10" s="124" t="s">
        <v>447</v>
      </c>
      <c r="E10" s="125" t="s">
        <v>464</v>
      </c>
      <c r="F10" s="131"/>
    </row>
    <row r="11" spans="1:7" s="132" customFormat="1" ht="36.75" customHeight="1">
      <c r="A11" s="121">
        <v>5</v>
      </c>
      <c r="B11" s="134" t="s">
        <v>35</v>
      </c>
      <c r="C11" s="123">
        <v>25697</v>
      </c>
      <c r="D11" s="135" t="s">
        <v>36</v>
      </c>
      <c r="E11" s="125" t="s">
        <v>39</v>
      </c>
      <c r="F11" s="131"/>
    </row>
    <row r="12" spans="1:7" s="132" customFormat="1" ht="36.75" customHeight="1">
      <c r="A12" s="121">
        <v>6</v>
      </c>
      <c r="B12" s="134" t="s">
        <v>41</v>
      </c>
      <c r="C12" s="123">
        <v>33483</v>
      </c>
      <c r="D12" s="135" t="s">
        <v>42</v>
      </c>
      <c r="E12" s="125" t="s">
        <v>44</v>
      </c>
      <c r="F12" s="131"/>
    </row>
    <row r="13" spans="1:7" s="132" customFormat="1" ht="36.75" customHeight="1">
      <c r="A13" s="121">
        <v>7</v>
      </c>
      <c r="B13" s="134" t="s">
        <v>45</v>
      </c>
      <c r="C13" s="123">
        <v>26644</v>
      </c>
      <c r="D13" s="135" t="s">
        <v>46</v>
      </c>
      <c r="E13" s="125" t="s">
        <v>47</v>
      </c>
      <c r="F13" s="131"/>
    </row>
    <row r="14" spans="1:7" s="132" customFormat="1" ht="36.75" customHeight="1">
      <c r="A14" s="121">
        <v>8</v>
      </c>
      <c r="B14" s="134" t="s">
        <v>48</v>
      </c>
      <c r="C14" s="136">
        <v>34393</v>
      </c>
      <c r="D14" s="135" t="s">
        <v>49</v>
      </c>
      <c r="E14" s="125" t="s">
        <v>50</v>
      </c>
      <c r="F14" s="131"/>
    </row>
    <row r="15" spans="1:7" s="132" customFormat="1" ht="36.75" customHeight="1">
      <c r="A15" s="121">
        <v>9</v>
      </c>
      <c r="B15" s="134" t="s">
        <v>51</v>
      </c>
      <c r="C15" s="124" t="s">
        <v>52</v>
      </c>
      <c r="D15" s="135" t="s">
        <v>53</v>
      </c>
      <c r="E15" s="125" t="s">
        <v>54</v>
      </c>
      <c r="F15" s="131"/>
      <c r="G15" s="132" t="s">
        <v>55</v>
      </c>
    </row>
    <row r="16" spans="1:7" s="132" customFormat="1" ht="36.75" customHeight="1">
      <c r="A16" s="121">
        <v>10</v>
      </c>
      <c r="B16" s="134" t="s">
        <v>56</v>
      </c>
      <c r="C16" s="123">
        <v>27247</v>
      </c>
      <c r="D16" s="135" t="s">
        <v>57</v>
      </c>
      <c r="E16" s="125" t="s">
        <v>58</v>
      </c>
      <c r="F16" s="131"/>
    </row>
    <row r="17" spans="1:15" s="132" customFormat="1" ht="36.75" customHeight="1">
      <c r="A17" s="121">
        <v>11</v>
      </c>
      <c r="B17" s="134" t="s">
        <v>59</v>
      </c>
      <c r="C17" s="123">
        <v>27147</v>
      </c>
      <c r="D17" s="135" t="s">
        <v>60</v>
      </c>
      <c r="E17" s="125" t="s">
        <v>61</v>
      </c>
      <c r="F17" s="125"/>
    </row>
    <row r="18" spans="1:15" s="132" customFormat="1" ht="36.75" customHeight="1">
      <c r="A18" s="121">
        <v>12</v>
      </c>
      <c r="B18" s="137" t="s">
        <v>62</v>
      </c>
      <c r="C18" s="123">
        <v>28755</v>
      </c>
      <c r="D18" s="135" t="s">
        <v>63</v>
      </c>
      <c r="E18" s="125" t="s">
        <v>64</v>
      </c>
      <c r="F18" s="125"/>
      <c r="G18" s="138"/>
      <c r="H18" s="139"/>
      <c r="I18" s="139"/>
      <c r="J18" s="140"/>
      <c r="K18" s="141"/>
      <c r="L18" s="141"/>
      <c r="M18" s="142"/>
      <c r="N18" s="142"/>
      <c r="O18" s="142"/>
    </row>
    <row r="19" spans="1:15" s="132" customFormat="1" ht="36.75" customHeight="1">
      <c r="A19" s="121">
        <v>13</v>
      </c>
      <c r="B19" s="126" t="s">
        <v>65</v>
      </c>
      <c r="C19" s="125" t="str">
        <f>VLOOKUP(B19,[1]Sheet1!$C$7:$D$41,2,0)</f>
        <v>02/06/2000</v>
      </c>
      <c r="D19" s="125" t="str">
        <f>VLOOKUP(B19,[1]Sheet1!$C$7:$H$41,6,0)</f>
        <v>0329368788</v>
      </c>
      <c r="E19" s="125" t="s">
        <v>66</v>
      </c>
      <c r="F19" s="125"/>
      <c r="G19" s="138"/>
      <c r="H19" s="139"/>
      <c r="I19" s="139"/>
      <c r="J19" s="140"/>
      <c r="K19" s="141"/>
      <c r="L19" s="141"/>
      <c r="M19" s="142"/>
      <c r="N19" s="142"/>
      <c r="O19" s="142"/>
    </row>
    <row r="20" spans="1:15" s="132" customFormat="1" ht="36.75" customHeight="1">
      <c r="A20" s="121">
        <v>14</v>
      </c>
      <c r="B20" s="126" t="s">
        <v>67</v>
      </c>
      <c r="C20" s="125" t="str">
        <f>VLOOKUP(B20,[1]Sheet1!$C$7:$D$41,2,0)</f>
        <v>27/01/1991</v>
      </c>
      <c r="D20" s="125" t="str">
        <f>VLOOKUP(B20,[1]Sheet1!$C$7:$H$41,6,0)</f>
        <v>0397930486</v>
      </c>
      <c r="E20" s="125" t="s">
        <v>68</v>
      </c>
      <c r="F20" s="125"/>
      <c r="G20" s="138"/>
      <c r="H20" s="139"/>
      <c r="I20" s="139"/>
      <c r="J20" s="140"/>
      <c r="K20" s="141"/>
      <c r="L20" s="141"/>
      <c r="M20" s="142"/>
      <c r="N20" s="142"/>
      <c r="O20" s="142"/>
    </row>
    <row r="21" spans="1:15" s="132" customFormat="1" ht="36.75" customHeight="1">
      <c r="A21" s="121">
        <v>15</v>
      </c>
      <c r="B21" s="126" t="s">
        <v>69</v>
      </c>
      <c r="C21" s="125" t="str">
        <f>VLOOKUP(B21,[1]Sheet1!$C$7:$D$41,2,0)</f>
        <v>25/10/1974</v>
      </c>
      <c r="D21" s="125" t="str">
        <f>VLOOKUP(B21,[1]Sheet1!$C$7:$H$41,6,0)</f>
        <v>0984039736</v>
      </c>
      <c r="E21" s="125" t="s">
        <v>70</v>
      </c>
      <c r="F21" s="125"/>
      <c r="G21" s="138"/>
      <c r="H21" s="139"/>
      <c r="I21" s="139"/>
      <c r="J21" s="140"/>
      <c r="K21" s="141"/>
      <c r="L21" s="141"/>
      <c r="M21" s="142"/>
      <c r="N21" s="142"/>
      <c r="O21" s="142"/>
    </row>
    <row r="22" spans="1:15" s="132" customFormat="1" ht="36.75" customHeight="1">
      <c r="A22" s="121">
        <v>16</v>
      </c>
      <c r="B22" s="134" t="s">
        <v>72</v>
      </c>
      <c r="C22" s="123">
        <v>26962</v>
      </c>
      <c r="D22" s="135" t="s">
        <v>73</v>
      </c>
      <c r="E22" s="125" t="s">
        <v>74</v>
      </c>
      <c r="F22" s="125"/>
      <c r="G22" s="138"/>
      <c r="H22" s="139"/>
      <c r="I22" s="139"/>
      <c r="J22" s="140"/>
      <c r="K22" s="141"/>
      <c r="L22" s="141"/>
      <c r="M22" s="142"/>
      <c r="N22" s="142"/>
      <c r="O22" s="142"/>
    </row>
    <row r="23" spans="1:15" s="132" customFormat="1" ht="36.75" customHeight="1">
      <c r="A23" s="121">
        <v>17</v>
      </c>
      <c r="B23" s="134" t="s">
        <v>75</v>
      </c>
      <c r="C23" s="123">
        <v>27715</v>
      </c>
      <c r="D23" s="135" t="s">
        <v>76</v>
      </c>
      <c r="E23" s="125" t="s">
        <v>77</v>
      </c>
      <c r="F23" s="125"/>
      <c r="N23" s="142"/>
      <c r="O23" s="142"/>
    </row>
    <row r="24" spans="1:15" s="132" customFormat="1" ht="36.75" customHeight="1">
      <c r="A24" s="121">
        <v>18</v>
      </c>
      <c r="B24" s="134" t="s">
        <v>78</v>
      </c>
      <c r="C24" s="123">
        <v>32214</v>
      </c>
      <c r="D24" s="135" t="s">
        <v>79</v>
      </c>
      <c r="E24" s="125" t="s">
        <v>80</v>
      </c>
      <c r="F24" s="125"/>
    </row>
    <row r="25" spans="1:15" s="132" customFormat="1" ht="36.75" customHeight="1">
      <c r="A25" s="121">
        <v>19</v>
      </c>
      <c r="B25" s="134" t="s">
        <v>82</v>
      </c>
      <c r="C25" s="123">
        <v>34652</v>
      </c>
      <c r="D25" s="135" t="s">
        <v>83</v>
      </c>
      <c r="E25" s="125" t="s">
        <v>84</v>
      </c>
      <c r="F25" s="125"/>
    </row>
    <row r="26" spans="1:15" s="132" customFormat="1" ht="36.75" customHeight="1">
      <c r="A26" s="121">
        <v>20</v>
      </c>
      <c r="B26" s="134" t="s">
        <v>85</v>
      </c>
      <c r="C26" s="123">
        <v>32231</v>
      </c>
      <c r="D26" s="135" t="s">
        <v>86</v>
      </c>
      <c r="E26" s="125" t="s">
        <v>87</v>
      </c>
      <c r="F26" s="125"/>
    </row>
    <row r="27" spans="1:15" s="132" customFormat="1" ht="36.75" customHeight="1">
      <c r="A27" s="121">
        <v>21</v>
      </c>
      <c r="B27" s="134" t="s">
        <v>88</v>
      </c>
      <c r="C27" s="123">
        <v>34925</v>
      </c>
      <c r="D27" s="143" t="s">
        <v>89</v>
      </c>
      <c r="E27" s="125" t="s">
        <v>90</v>
      </c>
      <c r="F27" s="125"/>
    </row>
    <row r="28" spans="1:15" s="132" customFormat="1" ht="36.75" customHeight="1">
      <c r="A28" s="121">
        <v>22</v>
      </c>
      <c r="B28" s="134" t="s">
        <v>91</v>
      </c>
      <c r="C28" s="123">
        <v>35319</v>
      </c>
      <c r="D28" s="135" t="s">
        <v>92</v>
      </c>
      <c r="E28" s="125" t="s">
        <v>93</v>
      </c>
      <c r="F28" s="125"/>
    </row>
    <row r="29" spans="1:15" s="132" customFormat="1" ht="36.75" customHeight="1">
      <c r="A29" s="121">
        <v>23</v>
      </c>
      <c r="B29" s="144" t="s">
        <v>94</v>
      </c>
      <c r="C29" s="136">
        <v>34578</v>
      </c>
      <c r="D29" s="135" t="s">
        <v>95</v>
      </c>
      <c r="E29" s="125" t="s">
        <v>96</v>
      </c>
      <c r="F29" s="125"/>
    </row>
    <row r="30" spans="1:15" s="132" customFormat="1" ht="36.75" customHeight="1">
      <c r="A30" s="121">
        <v>24</v>
      </c>
      <c r="B30" s="144" t="s">
        <v>97</v>
      </c>
      <c r="C30" s="145">
        <v>32454</v>
      </c>
      <c r="D30" s="135" t="s">
        <v>98</v>
      </c>
      <c r="E30" s="125" t="s">
        <v>99</v>
      </c>
      <c r="F30" s="125"/>
    </row>
    <row r="31" spans="1:15" s="132" customFormat="1" ht="36.75" customHeight="1">
      <c r="A31" s="121">
        <v>25</v>
      </c>
      <c r="B31" s="126" t="s">
        <v>100</v>
      </c>
      <c r="C31" s="125" t="str">
        <f>VLOOKUP(B31,[1]Sheet1!$C$7:$D$41,2,0)</f>
        <v>12/08/1992</v>
      </c>
      <c r="D31" s="125" t="str">
        <f>VLOOKUP(B31,[1]Sheet1!$C$7:$H$41,6,0)</f>
        <v>0399835092</v>
      </c>
      <c r="E31" s="125" t="s">
        <v>101</v>
      </c>
      <c r="F31" s="125"/>
    </row>
    <row r="32" spans="1:15" s="132" customFormat="1" ht="36.75" customHeight="1">
      <c r="A32" s="121">
        <v>26</v>
      </c>
      <c r="B32" s="126" t="s">
        <v>103</v>
      </c>
      <c r="C32" s="125" t="str">
        <f>VLOOKUP(B32,[1]Sheet1!$C$7:$D$41,2,0)</f>
        <v>06/10/1992</v>
      </c>
      <c r="D32" s="125" t="str">
        <f>VLOOKUP(B32,[1]Sheet1!$C$7:$H$41,6,0)</f>
        <v>0392921841</v>
      </c>
      <c r="E32" s="125" t="s">
        <v>104</v>
      </c>
      <c r="F32" s="125"/>
    </row>
    <row r="33" spans="1:15" s="132" customFormat="1" ht="36.75" customHeight="1">
      <c r="A33" s="121">
        <v>27</v>
      </c>
      <c r="B33" s="122" t="s">
        <v>105</v>
      </c>
      <c r="C33" s="125" t="str">
        <f>VLOOKUP(B33,[1]Sheet1!$C$7:$D$41,2,0)</f>
        <v>20/03/1972</v>
      </c>
      <c r="D33" s="125" t="str">
        <f>VLOOKUP(B33,[1]Sheet1!$C$7:$H$41,6,0)</f>
        <v>0974010508</v>
      </c>
      <c r="E33" s="125" t="s">
        <v>106</v>
      </c>
      <c r="F33" s="125"/>
    </row>
    <row r="34" spans="1:15" s="132" customFormat="1" ht="36.75" customHeight="1">
      <c r="A34" s="121">
        <v>28</v>
      </c>
      <c r="B34" s="122" t="s">
        <v>107</v>
      </c>
      <c r="C34" s="125" t="str">
        <f>VLOOKUP(B34,[1]Sheet1!$C$7:$D$41,2,0)</f>
        <v>03/10/1995</v>
      </c>
      <c r="D34" s="125" t="str">
        <f>VLOOKUP(B34,[1]Sheet1!$C$7:$H$41,6,0)</f>
        <v>0964620359</v>
      </c>
      <c r="E34" s="125" t="s">
        <v>108</v>
      </c>
      <c r="F34" s="125"/>
    </row>
    <row r="35" spans="1:15" s="132" customFormat="1" ht="36.75" customHeight="1">
      <c r="A35" s="121">
        <v>29</v>
      </c>
      <c r="B35" s="146" t="s">
        <v>109</v>
      </c>
      <c r="C35" s="123">
        <v>33807</v>
      </c>
      <c r="D35" s="135" t="s">
        <v>110</v>
      </c>
      <c r="E35" s="125" t="s">
        <v>111</v>
      </c>
      <c r="F35" s="125"/>
    </row>
    <row r="36" spans="1:15" s="132" customFormat="1" ht="36.75" customHeight="1">
      <c r="A36" s="121">
        <v>30</v>
      </c>
      <c r="B36" s="134" t="s">
        <v>112</v>
      </c>
      <c r="C36" s="124" t="s">
        <v>113</v>
      </c>
      <c r="D36" s="135" t="s">
        <v>114</v>
      </c>
      <c r="E36" s="125" t="s">
        <v>115</v>
      </c>
      <c r="F36" s="125"/>
    </row>
    <row r="37" spans="1:15" s="132" customFormat="1" ht="36.75" customHeight="1">
      <c r="A37" s="121">
        <v>31</v>
      </c>
      <c r="B37" s="134" t="s">
        <v>116</v>
      </c>
      <c r="C37" s="123">
        <v>35990</v>
      </c>
      <c r="D37" s="135" t="s">
        <v>117</v>
      </c>
      <c r="E37" s="125" t="s">
        <v>118</v>
      </c>
      <c r="F37" s="125"/>
      <c r="H37" s="138"/>
      <c r="I37" s="147"/>
      <c r="J37" s="147"/>
      <c r="K37" s="138"/>
      <c r="L37" s="148"/>
      <c r="M37" s="148"/>
      <c r="N37" s="149"/>
    </row>
    <row r="38" spans="1:15" s="132" customFormat="1" ht="36.75" customHeight="1">
      <c r="A38" s="121">
        <v>32</v>
      </c>
      <c r="B38" s="134" t="s">
        <v>119</v>
      </c>
      <c r="C38" s="123">
        <v>26104</v>
      </c>
      <c r="D38" s="135" t="s">
        <v>120</v>
      </c>
      <c r="E38" s="125" t="s">
        <v>121</v>
      </c>
      <c r="F38" s="125"/>
      <c r="N38" s="149"/>
    </row>
    <row r="39" spans="1:15" s="132" customFormat="1" ht="36.75" customHeight="1">
      <c r="A39" s="121">
        <v>33</v>
      </c>
      <c r="B39" s="134" t="s">
        <v>122</v>
      </c>
      <c r="C39" s="124" t="s">
        <v>123</v>
      </c>
      <c r="D39" s="135" t="s">
        <v>124</v>
      </c>
      <c r="E39" s="125" t="s">
        <v>125</v>
      </c>
      <c r="F39" s="125"/>
      <c r="O39" s="148"/>
    </row>
    <row r="40" spans="1:15" s="132" customFormat="1" ht="36.75" customHeight="1">
      <c r="A40" s="121">
        <v>34</v>
      </c>
      <c r="B40" s="134" t="s">
        <v>126</v>
      </c>
      <c r="C40" s="123">
        <v>25969</v>
      </c>
      <c r="D40" s="135" t="s">
        <v>127</v>
      </c>
      <c r="E40" s="125" t="s">
        <v>128</v>
      </c>
      <c r="F40" s="125"/>
      <c r="H40" s="149"/>
    </row>
    <row r="41" spans="1:15" s="132" customFormat="1" ht="36.75" customHeight="1">
      <c r="A41" s="121">
        <v>35</v>
      </c>
      <c r="B41" s="134" t="s">
        <v>129</v>
      </c>
      <c r="C41" s="123">
        <v>30965</v>
      </c>
      <c r="D41" s="135" t="s">
        <v>130</v>
      </c>
      <c r="E41" s="125" t="s">
        <v>132</v>
      </c>
      <c r="F41" s="125"/>
    </row>
    <row r="42" spans="1:15" s="132" customFormat="1" ht="36.75" customHeight="1">
      <c r="A42" s="121">
        <v>36</v>
      </c>
      <c r="B42" s="134" t="s">
        <v>134</v>
      </c>
      <c r="C42" s="123">
        <v>31243</v>
      </c>
      <c r="D42" s="135" t="s">
        <v>135</v>
      </c>
      <c r="E42" s="125" t="s">
        <v>136</v>
      </c>
      <c r="F42" s="125"/>
    </row>
    <row r="43" spans="1:15" s="132" customFormat="1" ht="36.75" customHeight="1">
      <c r="A43" s="121">
        <v>37</v>
      </c>
      <c r="B43" s="134" t="s">
        <v>137</v>
      </c>
      <c r="C43" s="123">
        <v>31595</v>
      </c>
      <c r="D43" s="124" t="s">
        <v>138</v>
      </c>
      <c r="E43" s="125" t="s">
        <v>140</v>
      </c>
      <c r="F43" s="125"/>
    </row>
    <row r="44" spans="1:15" s="132" customFormat="1" ht="36.75" customHeight="1">
      <c r="A44" s="121">
        <v>38</v>
      </c>
      <c r="B44" s="122" t="s">
        <v>141</v>
      </c>
      <c r="C44" s="125" t="str">
        <f>VLOOKUP(B44,[1]Sheet1!$C$7:$D$41,2,0)</f>
        <v>16/02/1999</v>
      </c>
      <c r="D44" s="125" t="str">
        <f>VLOOKUP(B44,[1]Sheet1!$C$7:$H$41,6,0)</f>
        <v>0973229929</v>
      </c>
      <c r="E44" s="125" t="s">
        <v>142</v>
      </c>
      <c r="F44" s="125"/>
    </row>
    <row r="45" spans="1:15" s="132" customFormat="1" ht="36.75" customHeight="1">
      <c r="A45" s="121">
        <v>39</v>
      </c>
      <c r="B45" s="122" t="s">
        <v>143</v>
      </c>
      <c r="C45" s="125" t="str">
        <f>VLOOKUP(B45,[1]Sheet1!$C$7:$D$41,2,0)</f>
        <v>17/06/1996</v>
      </c>
      <c r="D45" s="125" t="str">
        <f>VLOOKUP(B45,[1]Sheet1!$C$7:$H$41,6,0)</f>
        <v>0976791554</v>
      </c>
      <c r="E45" s="125" t="s">
        <v>144</v>
      </c>
      <c r="F45" s="125"/>
    </row>
    <row r="46" spans="1:15" s="132" customFormat="1" ht="36.75" customHeight="1">
      <c r="A46" s="121">
        <v>40</v>
      </c>
      <c r="B46" s="122" t="s">
        <v>145</v>
      </c>
      <c r="C46" s="125" t="str">
        <f>VLOOKUP(B46,[1]Sheet1!$C$7:$D$41,2,0)</f>
        <v>02/01/1975</v>
      </c>
      <c r="D46" s="125" t="str">
        <f>VLOOKUP(B46,[1]Sheet1!$C$7:$H$41,6,0)</f>
        <v>0948538696</v>
      </c>
      <c r="E46" s="125" t="s">
        <v>147</v>
      </c>
      <c r="F46" s="125"/>
    </row>
    <row r="47" spans="1:15" s="132" customFormat="1" ht="36.75" customHeight="1">
      <c r="A47" s="121">
        <v>41</v>
      </c>
      <c r="B47" s="134" t="s">
        <v>149</v>
      </c>
      <c r="C47" s="123">
        <v>32620</v>
      </c>
      <c r="D47" s="135" t="s">
        <v>150</v>
      </c>
      <c r="E47" s="125" t="s">
        <v>151</v>
      </c>
      <c r="F47" s="125"/>
    </row>
    <row r="48" spans="1:15" s="132" customFormat="1" ht="36.75" customHeight="1">
      <c r="A48" s="121">
        <v>42</v>
      </c>
      <c r="B48" s="134" t="s">
        <v>152</v>
      </c>
      <c r="C48" s="123">
        <v>25877</v>
      </c>
      <c r="D48" s="135" t="s">
        <v>153</v>
      </c>
      <c r="E48" s="125" t="s">
        <v>154</v>
      </c>
      <c r="F48" s="125"/>
    </row>
    <row r="49" spans="1:6" s="132" customFormat="1" ht="36.75" customHeight="1">
      <c r="A49" s="121">
        <v>43</v>
      </c>
      <c r="B49" s="134" t="s">
        <v>155</v>
      </c>
      <c r="C49" s="124" t="s">
        <v>156</v>
      </c>
      <c r="D49" s="135" t="s">
        <v>157</v>
      </c>
      <c r="E49" s="125" t="s">
        <v>158</v>
      </c>
      <c r="F49" s="125"/>
    </row>
    <row r="50" spans="1:6" s="132" customFormat="1" ht="36.75" customHeight="1">
      <c r="A50" s="121">
        <v>44</v>
      </c>
      <c r="B50" s="134" t="s">
        <v>159</v>
      </c>
      <c r="C50" s="124" t="s">
        <v>160</v>
      </c>
      <c r="D50" s="135" t="s">
        <v>161</v>
      </c>
      <c r="E50" s="125" t="s">
        <v>162</v>
      </c>
      <c r="F50" s="125"/>
    </row>
    <row r="51" spans="1:6" s="132" customFormat="1" ht="36.75" customHeight="1">
      <c r="A51" s="121">
        <v>45</v>
      </c>
      <c r="B51" s="134" t="s">
        <v>163</v>
      </c>
      <c r="C51" s="123">
        <v>36218</v>
      </c>
      <c r="D51" s="135" t="s">
        <v>164</v>
      </c>
      <c r="E51" s="125" t="s">
        <v>165</v>
      </c>
      <c r="F51" s="131"/>
    </row>
    <row r="52" spans="1:6" s="132" customFormat="1" ht="36.75" customHeight="1">
      <c r="A52" s="121">
        <v>46</v>
      </c>
      <c r="B52" s="134" t="s">
        <v>166</v>
      </c>
      <c r="C52" s="123">
        <v>26258</v>
      </c>
      <c r="D52" s="135" t="s">
        <v>167</v>
      </c>
      <c r="E52" s="125" t="s">
        <v>168</v>
      </c>
      <c r="F52" s="131"/>
    </row>
    <row r="53" spans="1:6" s="132" customFormat="1" ht="36.75" customHeight="1">
      <c r="A53" s="121">
        <v>47</v>
      </c>
      <c r="B53" s="134" t="s">
        <v>169</v>
      </c>
      <c r="C53" s="123">
        <v>27831</v>
      </c>
      <c r="D53" s="135" t="s">
        <v>170</v>
      </c>
      <c r="E53" s="125" t="s">
        <v>171</v>
      </c>
      <c r="F53" s="131"/>
    </row>
    <row r="54" spans="1:6" s="132" customFormat="1" ht="36.75" customHeight="1">
      <c r="A54" s="121">
        <v>48</v>
      </c>
      <c r="B54" s="134" t="s">
        <v>172</v>
      </c>
      <c r="C54" s="123">
        <v>26437</v>
      </c>
      <c r="D54" s="135" t="s">
        <v>173</v>
      </c>
      <c r="E54" s="125" t="s">
        <v>175</v>
      </c>
      <c r="F54" s="131"/>
    </row>
    <row r="55" spans="1:6" s="132" customFormat="1" ht="36.75" customHeight="1">
      <c r="A55" s="121">
        <v>49</v>
      </c>
      <c r="B55" s="122" t="s">
        <v>177</v>
      </c>
      <c r="C55" s="125" t="str">
        <f>VLOOKUP(B55,[1]Sheet1!$C$7:$D$41,2,0)</f>
        <v>15/03/1999</v>
      </c>
      <c r="D55" s="125" t="str">
        <f>VLOOKUP(B55,[1]Sheet1!$C$7:$H$41,6,0)</f>
        <v>0965927709</v>
      </c>
      <c r="E55" s="125" t="s">
        <v>178</v>
      </c>
      <c r="F55" s="131"/>
    </row>
    <row r="56" spans="1:6" s="132" customFormat="1" ht="36.75" customHeight="1">
      <c r="A56" s="121">
        <v>50</v>
      </c>
      <c r="B56" s="122" t="s">
        <v>179</v>
      </c>
      <c r="C56" s="125" t="s">
        <v>180</v>
      </c>
      <c r="D56" s="150" t="s">
        <v>181</v>
      </c>
      <c r="E56" s="125" t="s">
        <v>182</v>
      </c>
      <c r="F56" s="131"/>
    </row>
    <row r="57" spans="1:6" s="132" customFormat="1" ht="36.75" customHeight="1">
      <c r="A57" s="121">
        <v>51</v>
      </c>
      <c r="B57" s="122" t="s">
        <v>183</v>
      </c>
      <c r="C57" s="125" t="str">
        <f>VLOOKUP(B57,[1]Sheet1!$C$7:$D$41,2,0)</f>
        <v>13/11/1997</v>
      </c>
      <c r="D57" s="125" t="str">
        <f>VLOOKUP(B57,[1]Sheet1!$C$7:$H$41,6,0)</f>
        <v>0988586273</v>
      </c>
      <c r="E57" s="125" t="s">
        <v>184</v>
      </c>
      <c r="F57" s="131"/>
    </row>
    <row r="58" spans="1:6" s="132" customFormat="1" ht="36.75" customHeight="1">
      <c r="A58" s="121">
        <v>52</v>
      </c>
      <c r="B58" s="122" t="s">
        <v>185</v>
      </c>
      <c r="C58" s="125" t="s">
        <v>186</v>
      </c>
      <c r="D58" s="150" t="s">
        <v>187</v>
      </c>
      <c r="E58" s="125" t="s">
        <v>188</v>
      </c>
      <c r="F58" s="131"/>
    </row>
    <row r="59" spans="1:6" s="132" customFormat="1" ht="36.75" customHeight="1">
      <c r="A59" s="121">
        <v>53</v>
      </c>
      <c r="B59" s="134" t="s">
        <v>190</v>
      </c>
      <c r="C59" s="124" t="s">
        <v>191</v>
      </c>
      <c r="D59" s="135" t="s">
        <v>192</v>
      </c>
      <c r="E59" s="125" t="s">
        <v>193</v>
      </c>
      <c r="F59" s="131"/>
    </row>
    <row r="60" spans="1:6" s="132" customFormat="1" ht="36.75" customHeight="1">
      <c r="A60" s="121">
        <v>54</v>
      </c>
      <c r="B60" s="134" t="s">
        <v>194</v>
      </c>
      <c r="C60" s="123">
        <v>32785</v>
      </c>
      <c r="D60" s="135" t="s">
        <v>195</v>
      </c>
      <c r="E60" s="125" t="s">
        <v>197</v>
      </c>
      <c r="F60" s="131"/>
    </row>
    <row r="61" spans="1:6" s="132" customFormat="1" ht="36.75" customHeight="1">
      <c r="A61" s="121">
        <v>55</v>
      </c>
      <c r="B61" s="134" t="s">
        <v>199</v>
      </c>
      <c r="C61" s="123">
        <v>27158</v>
      </c>
      <c r="D61" s="135" t="s">
        <v>200</v>
      </c>
      <c r="E61" s="125" t="s">
        <v>201</v>
      </c>
      <c r="F61" s="131"/>
    </row>
    <row r="62" spans="1:6" s="132" customFormat="1" ht="36.75" customHeight="1">
      <c r="A62" s="121">
        <v>56</v>
      </c>
      <c r="B62" s="134" t="s">
        <v>203</v>
      </c>
      <c r="C62" s="123">
        <v>27030</v>
      </c>
      <c r="D62" s="135" t="s">
        <v>204</v>
      </c>
      <c r="E62" s="125" t="s">
        <v>205</v>
      </c>
      <c r="F62" s="131"/>
    </row>
    <row r="63" spans="1:6" s="151" customFormat="1" ht="36.75" customHeight="1">
      <c r="A63" s="121">
        <v>57</v>
      </c>
      <c r="B63" s="134" t="s">
        <v>206</v>
      </c>
      <c r="C63" s="123">
        <v>28012</v>
      </c>
      <c r="D63" s="135" t="s">
        <v>207</v>
      </c>
      <c r="E63" s="125" t="s">
        <v>208</v>
      </c>
      <c r="F63" s="121"/>
    </row>
    <row r="64" spans="1:6" s="132" customFormat="1" ht="36.75" customHeight="1">
      <c r="A64" s="121">
        <v>58</v>
      </c>
      <c r="B64" s="134" t="s">
        <v>209</v>
      </c>
      <c r="C64" s="123">
        <v>26988</v>
      </c>
      <c r="D64" s="135" t="s">
        <v>210</v>
      </c>
      <c r="E64" s="125" t="s">
        <v>211</v>
      </c>
      <c r="F64" s="131"/>
    </row>
    <row r="65" spans="1:7" s="132" customFormat="1" ht="36.75" customHeight="1">
      <c r="A65" s="121">
        <v>59</v>
      </c>
      <c r="B65" s="134" t="s">
        <v>212</v>
      </c>
      <c r="C65" s="124" t="s">
        <v>213</v>
      </c>
      <c r="D65" s="135" t="s">
        <v>214</v>
      </c>
      <c r="E65" s="125" t="s">
        <v>215</v>
      </c>
      <c r="F65" s="131"/>
    </row>
    <row r="66" spans="1:7" s="132" customFormat="1" ht="36.75" customHeight="1">
      <c r="A66" s="121">
        <v>60</v>
      </c>
      <c r="B66" s="122" t="s">
        <v>216</v>
      </c>
      <c r="C66" s="125" t="str">
        <f>VLOOKUP(B66,[1]Sheet1!$C$7:$D$41,2,0)</f>
        <v>22/03/1995</v>
      </c>
      <c r="D66" s="125" t="str">
        <f>VLOOKUP(B66,[1]Sheet1!$C$7:$H$41,6,0)</f>
        <v>0399798541</v>
      </c>
      <c r="E66" s="125" t="s">
        <v>218</v>
      </c>
      <c r="F66" s="131"/>
    </row>
    <row r="67" spans="1:7" s="132" customFormat="1" ht="36.75" customHeight="1">
      <c r="A67" s="121">
        <v>61</v>
      </c>
      <c r="B67" s="122" t="s">
        <v>219</v>
      </c>
      <c r="C67" s="125" t="str">
        <f>VLOOKUP(B67,[1]Sheet1!$C$7:$D$41,2,0)</f>
        <v>11/06/1993</v>
      </c>
      <c r="D67" s="125" t="str">
        <f>VLOOKUP(B67,[1]Sheet1!$C$7:$H$41,6,0)</f>
        <v>0977316173</v>
      </c>
      <c r="E67" s="125" t="s">
        <v>220</v>
      </c>
      <c r="F67" s="131"/>
    </row>
    <row r="68" spans="1:7" s="132" customFormat="1" ht="36.75" customHeight="1">
      <c r="A68" s="121">
        <v>62</v>
      </c>
      <c r="B68" s="122" t="s">
        <v>222</v>
      </c>
      <c r="C68" s="125" t="str">
        <f>VLOOKUP(B68,[1]Sheet1!$C$7:$D$41,2,0)</f>
        <v>09/10/2002</v>
      </c>
      <c r="D68" s="125" t="str">
        <f>VLOOKUP(B68,[1]Sheet1!$C$7:$H$41,6,0)</f>
        <v>0394873358</v>
      </c>
      <c r="E68" s="125" t="s">
        <v>223</v>
      </c>
      <c r="F68" s="131"/>
    </row>
    <row r="69" spans="1:7" s="132" customFormat="1" ht="36.75" customHeight="1">
      <c r="A69" s="121">
        <v>63</v>
      </c>
      <c r="B69" s="122" t="s">
        <v>224</v>
      </c>
      <c r="C69" s="125" t="str">
        <f>VLOOKUP(B69,[1]Sheet1!$C$7:$D$41,2,0)</f>
        <v>06/08/1986</v>
      </c>
      <c r="D69" s="125" t="str">
        <f>VLOOKUP(B69,[1]Sheet1!$C$7:$H$41,6,0)</f>
        <v>0988307119</v>
      </c>
      <c r="E69" s="125" t="s">
        <v>225</v>
      </c>
      <c r="F69" s="131"/>
    </row>
    <row r="70" spans="1:7" s="132" customFormat="1" ht="36.75" customHeight="1">
      <c r="A70" s="121">
        <v>64</v>
      </c>
      <c r="B70" s="134" t="s">
        <v>226</v>
      </c>
      <c r="C70" s="123">
        <v>27554</v>
      </c>
      <c r="D70" s="135" t="s">
        <v>227</v>
      </c>
      <c r="E70" s="125" t="s">
        <v>43</v>
      </c>
      <c r="F70" s="131"/>
    </row>
    <row r="71" spans="1:7" s="132" customFormat="1" ht="36.75" customHeight="1">
      <c r="A71" s="121">
        <v>65</v>
      </c>
      <c r="B71" s="134" t="s">
        <v>230</v>
      </c>
      <c r="C71" s="123">
        <v>26873</v>
      </c>
      <c r="D71" s="135" t="s">
        <v>231</v>
      </c>
      <c r="E71" s="125" t="s">
        <v>43</v>
      </c>
      <c r="F71" s="131"/>
    </row>
    <row r="72" spans="1:7" s="132" customFormat="1" ht="36.75" customHeight="1">
      <c r="A72" s="121">
        <v>66</v>
      </c>
      <c r="B72" s="134" t="s">
        <v>233</v>
      </c>
      <c r="C72" s="123">
        <v>36808</v>
      </c>
      <c r="D72" s="135" t="s">
        <v>234</v>
      </c>
      <c r="E72" s="125" t="s">
        <v>43</v>
      </c>
      <c r="F72" s="131"/>
    </row>
    <row r="73" spans="1:7" s="132" customFormat="1" ht="36.75" customHeight="1">
      <c r="A73" s="121">
        <v>67</v>
      </c>
      <c r="B73" s="122" t="s">
        <v>235</v>
      </c>
      <c r="C73" s="125" t="s">
        <v>236</v>
      </c>
      <c r="D73" s="152" t="s">
        <v>237</v>
      </c>
      <c r="E73" s="121" t="s">
        <v>43</v>
      </c>
      <c r="F73" s="131"/>
    </row>
    <row r="74" spans="1:7" s="132" customFormat="1" ht="36.75" customHeight="1">
      <c r="A74" s="121">
        <v>68</v>
      </c>
      <c r="B74" s="122" t="s">
        <v>238</v>
      </c>
      <c r="C74" s="125" t="s">
        <v>239</v>
      </c>
      <c r="D74" s="153" t="s">
        <v>240</v>
      </c>
      <c r="E74" s="121" t="s">
        <v>43</v>
      </c>
      <c r="F74" s="131"/>
    </row>
    <row r="75" spans="1:7" s="132" customFormat="1" ht="36.75" customHeight="1">
      <c r="A75" s="121">
        <v>69</v>
      </c>
      <c r="B75" s="122" t="s">
        <v>242</v>
      </c>
      <c r="C75" s="129">
        <v>37348</v>
      </c>
      <c r="D75" s="154" t="s">
        <v>243</v>
      </c>
      <c r="E75" s="121" t="s">
        <v>43</v>
      </c>
      <c r="F75" s="131"/>
    </row>
    <row r="76" spans="1:7" s="132" customFormat="1" ht="36.75" customHeight="1">
      <c r="A76" s="121">
        <v>70</v>
      </c>
      <c r="B76" s="134" t="s">
        <v>245</v>
      </c>
      <c r="C76" s="123">
        <v>23991</v>
      </c>
      <c r="D76" s="135" t="s">
        <v>247</v>
      </c>
      <c r="E76" s="125" t="s">
        <v>248</v>
      </c>
      <c r="F76" s="131"/>
    </row>
    <row r="77" spans="1:7" s="132" customFormat="1" ht="36.75" customHeight="1">
      <c r="A77" s="121">
        <v>71</v>
      </c>
      <c r="B77" s="134" t="s">
        <v>250</v>
      </c>
      <c r="C77" s="123">
        <v>31344</v>
      </c>
      <c r="D77" s="135" t="s">
        <v>251</v>
      </c>
      <c r="E77" s="125" t="s">
        <v>248</v>
      </c>
      <c r="F77" s="131"/>
    </row>
    <row r="78" spans="1:7" s="132" customFormat="1" ht="36.75" customHeight="1">
      <c r="A78" s="121">
        <v>72</v>
      </c>
      <c r="B78" s="122" t="s">
        <v>252</v>
      </c>
      <c r="C78" s="125" t="s">
        <v>253</v>
      </c>
      <c r="D78" s="153" t="s">
        <v>254</v>
      </c>
      <c r="E78" s="125" t="s">
        <v>248</v>
      </c>
      <c r="F78" s="131"/>
    </row>
    <row r="79" spans="1:7" s="132" customFormat="1" ht="36.75" customHeight="1">
      <c r="A79" s="121">
        <v>73</v>
      </c>
      <c r="B79" s="134" t="s">
        <v>256</v>
      </c>
      <c r="C79" s="123">
        <v>28380</v>
      </c>
      <c r="D79" s="135" t="s">
        <v>257</v>
      </c>
      <c r="E79" s="121" t="s">
        <v>258</v>
      </c>
      <c r="F79" s="131"/>
      <c r="G79" s="148"/>
    </row>
    <row r="80" spans="1:7" s="132" customFormat="1" ht="36.75" customHeight="1">
      <c r="A80" s="121">
        <v>74</v>
      </c>
      <c r="B80" s="134" t="s">
        <v>259</v>
      </c>
      <c r="C80" s="123">
        <v>29773</v>
      </c>
      <c r="D80" s="135" t="s">
        <v>260</v>
      </c>
      <c r="E80" s="121" t="s">
        <v>258</v>
      </c>
      <c r="F80" s="155"/>
    </row>
    <row r="81" spans="1:6" s="132" customFormat="1" ht="36.75" customHeight="1">
      <c r="A81" s="121">
        <v>75</v>
      </c>
      <c r="B81" s="134" t="s">
        <v>261</v>
      </c>
      <c r="C81" s="123">
        <v>32425</v>
      </c>
      <c r="D81" s="135" t="s">
        <v>262</v>
      </c>
      <c r="E81" s="121" t="s">
        <v>258</v>
      </c>
      <c r="F81" s="156"/>
    </row>
    <row r="82" spans="1:6" s="132" customFormat="1" ht="36.75" customHeight="1">
      <c r="A82" s="121">
        <v>76</v>
      </c>
      <c r="B82" s="122" t="s">
        <v>226</v>
      </c>
      <c r="C82" s="125" t="s">
        <v>263</v>
      </c>
      <c r="D82" s="157" t="s">
        <v>264</v>
      </c>
      <c r="E82" s="121" t="s">
        <v>258</v>
      </c>
      <c r="F82" s="131"/>
    </row>
    <row r="83" spans="1:6" s="164" customFormat="1" ht="36.75" customHeight="1">
      <c r="A83" s="121">
        <v>77</v>
      </c>
      <c r="B83" s="158" t="s">
        <v>265</v>
      </c>
      <c r="C83" s="159">
        <v>31536</v>
      </c>
      <c r="D83" s="161" t="s">
        <v>267</v>
      </c>
      <c r="E83" s="162" t="s">
        <v>258</v>
      </c>
      <c r="F83" s="163" t="s">
        <v>266</v>
      </c>
    </row>
    <row r="84" spans="1:6" s="164" customFormat="1" ht="36.75" customHeight="1">
      <c r="A84" s="121">
        <v>78</v>
      </c>
      <c r="B84" s="158" t="s">
        <v>268</v>
      </c>
      <c r="C84" s="159">
        <v>37707</v>
      </c>
      <c r="D84" s="161" t="s">
        <v>269</v>
      </c>
      <c r="E84" s="162" t="s">
        <v>258</v>
      </c>
      <c r="F84" s="163" t="s">
        <v>266</v>
      </c>
    </row>
    <row r="85" spans="1:6" s="164" customFormat="1" ht="36.75" customHeight="1">
      <c r="A85" s="121">
        <v>79</v>
      </c>
      <c r="B85" s="158" t="s">
        <v>443</v>
      </c>
      <c r="C85" s="159"/>
      <c r="D85" s="99" t="s">
        <v>444</v>
      </c>
      <c r="E85" s="162" t="s">
        <v>258</v>
      </c>
      <c r="F85" s="163" t="s">
        <v>266</v>
      </c>
    </row>
    <row r="86" spans="1:6" s="132" customFormat="1" ht="36.75" customHeight="1">
      <c r="A86" s="121">
        <v>80</v>
      </c>
      <c r="B86" s="134" t="s">
        <v>271</v>
      </c>
      <c r="C86" s="123">
        <v>30626</v>
      </c>
      <c r="D86" s="135" t="s">
        <v>272</v>
      </c>
      <c r="E86" s="121" t="s">
        <v>273</v>
      </c>
      <c r="F86" s="131"/>
    </row>
    <row r="87" spans="1:6" s="132" customFormat="1" ht="36.75" customHeight="1">
      <c r="A87" s="121">
        <v>81</v>
      </c>
      <c r="B87" s="134" t="s">
        <v>274</v>
      </c>
      <c r="C87" s="123">
        <v>32448</v>
      </c>
      <c r="D87" s="135" t="s">
        <v>275</v>
      </c>
      <c r="E87" s="121" t="s">
        <v>273</v>
      </c>
      <c r="F87" s="131"/>
    </row>
    <row r="88" spans="1:6" s="164" customFormat="1" ht="36.75" customHeight="1">
      <c r="A88" s="121">
        <v>82</v>
      </c>
      <c r="B88" s="165" t="s">
        <v>277</v>
      </c>
      <c r="C88" s="159">
        <v>37378</v>
      </c>
      <c r="D88" s="161" t="s">
        <v>278</v>
      </c>
      <c r="E88" s="162" t="s">
        <v>273</v>
      </c>
      <c r="F88" s="163" t="s">
        <v>266</v>
      </c>
    </row>
    <row r="89" spans="1:6" s="164" customFormat="1" ht="36.75" customHeight="1">
      <c r="A89" s="121">
        <v>83</v>
      </c>
      <c r="B89" s="165" t="s">
        <v>279</v>
      </c>
      <c r="C89" s="159">
        <v>37629</v>
      </c>
      <c r="D89" s="161" t="s">
        <v>280</v>
      </c>
      <c r="E89" s="166" t="s">
        <v>273</v>
      </c>
      <c r="F89" s="163" t="s">
        <v>266</v>
      </c>
    </row>
    <row r="90" spans="1:6" s="164" customFormat="1" ht="36.75" customHeight="1">
      <c r="A90" s="121">
        <v>84</v>
      </c>
      <c r="B90" s="165" t="s">
        <v>281</v>
      </c>
      <c r="C90" s="159">
        <v>35021</v>
      </c>
      <c r="D90" s="161" t="s">
        <v>282</v>
      </c>
      <c r="E90" s="166" t="s">
        <v>273</v>
      </c>
      <c r="F90" s="163" t="s">
        <v>266</v>
      </c>
    </row>
    <row r="91" spans="1:6" s="164" customFormat="1" ht="36.75" customHeight="1">
      <c r="A91" s="121">
        <v>85</v>
      </c>
      <c r="B91" s="165" t="s">
        <v>284</v>
      </c>
      <c r="C91" s="159">
        <v>38012</v>
      </c>
      <c r="D91" s="161" t="s">
        <v>285</v>
      </c>
      <c r="E91" s="166" t="s">
        <v>273</v>
      </c>
      <c r="F91" s="163" t="s">
        <v>266</v>
      </c>
    </row>
    <row r="92" spans="1:6" s="164" customFormat="1" ht="36.75" customHeight="1">
      <c r="A92" s="121">
        <v>86</v>
      </c>
      <c r="B92" s="165" t="s">
        <v>286</v>
      </c>
      <c r="C92" s="159">
        <v>37989</v>
      </c>
      <c r="D92" s="161" t="s">
        <v>287</v>
      </c>
      <c r="E92" s="166" t="s">
        <v>273</v>
      </c>
      <c r="F92" s="163" t="s">
        <v>266</v>
      </c>
    </row>
    <row r="93" spans="1:6" s="132" customFormat="1" ht="36.75" customHeight="1">
      <c r="A93" s="121">
        <v>87</v>
      </c>
      <c r="B93" s="134" t="s">
        <v>288</v>
      </c>
      <c r="C93" s="124" t="s">
        <v>289</v>
      </c>
      <c r="D93" s="135" t="s">
        <v>290</v>
      </c>
      <c r="E93" s="121" t="s">
        <v>291</v>
      </c>
      <c r="F93" s="131"/>
    </row>
    <row r="94" spans="1:6" s="132" customFormat="1" ht="36.75" customHeight="1">
      <c r="A94" s="121">
        <v>88</v>
      </c>
      <c r="B94" s="134" t="s">
        <v>292</v>
      </c>
      <c r="C94" s="123">
        <v>30411</v>
      </c>
      <c r="D94" s="135" t="s">
        <v>293</v>
      </c>
      <c r="E94" s="121" t="s">
        <v>291</v>
      </c>
      <c r="F94" s="131"/>
    </row>
    <row r="95" spans="1:6" s="132" customFormat="1" ht="36.75" customHeight="1">
      <c r="A95" s="121">
        <v>89</v>
      </c>
      <c r="B95" s="122" t="s">
        <v>294</v>
      </c>
      <c r="C95" s="125" t="s">
        <v>295</v>
      </c>
      <c r="D95" s="153" t="s">
        <v>296</v>
      </c>
      <c r="E95" s="121" t="s">
        <v>297</v>
      </c>
      <c r="F95" s="131"/>
    </row>
    <row r="96" spans="1:6" s="132" customFormat="1" ht="36.75" customHeight="1">
      <c r="A96" s="121">
        <v>90</v>
      </c>
      <c r="B96" s="134" t="s">
        <v>299</v>
      </c>
      <c r="C96" s="123">
        <v>32158</v>
      </c>
      <c r="D96" s="135" t="s">
        <v>300</v>
      </c>
      <c r="E96" s="121" t="s">
        <v>301</v>
      </c>
      <c r="F96" s="156"/>
    </row>
    <row r="97" spans="1:6" s="164" customFormat="1" ht="36.75" customHeight="1">
      <c r="A97" s="121">
        <v>91</v>
      </c>
      <c r="B97" s="167" t="s">
        <v>302</v>
      </c>
      <c r="C97" s="160">
        <v>36795</v>
      </c>
      <c r="D97" s="168" t="s">
        <v>303</v>
      </c>
      <c r="E97" s="162" t="s">
        <v>301</v>
      </c>
      <c r="F97" s="163" t="s">
        <v>266</v>
      </c>
    </row>
    <row r="98" spans="1:6" s="132" customFormat="1" ht="36.75" customHeight="1">
      <c r="A98" s="121">
        <v>92</v>
      </c>
      <c r="B98" s="134" t="s">
        <v>304</v>
      </c>
      <c r="C98" s="123">
        <v>32439</v>
      </c>
      <c r="D98" s="135" t="s">
        <v>305</v>
      </c>
      <c r="E98" s="121" t="s">
        <v>306</v>
      </c>
      <c r="F98" s="131"/>
    </row>
    <row r="99" spans="1:6" s="132" customFormat="1" ht="36.75" customHeight="1">
      <c r="A99" s="121">
        <v>93</v>
      </c>
      <c r="B99" s="134" t="s">
        <v>307</v>
      </c>
      <c r="C99" s="123">
        <v>30811</v>
      </c>
      <c r="D99" s="135" t="s">
        <v>308</v>
      </c>
      <c r="E99" s="121" t="s">
        <v>309</v>
      </c>
      <c r="F99" s="131"/>
    </row>
    <row r="100" spans="1:6" s="132" customFormat="1" ht="36.75" customHeight="1">
      <c r="A100" s="121">
        <v>94</v>
      </c>
      <c r="B100" s="122" t="s">
        <v>311</v>
      </c>
      <c r="C100" s="125" t="s">
        <v>312</v>
      </c>
      <c r="D100" s="153" t="s">
        <v>313</v>
      </c>
      <c r="E100" s="121" t="s">
        <v>309</v>
      </c>
      <c r="F100" s="131"/>
    </row>
    <row r="101" spans="1:6" s="132" customFormat="1" ht="36.75" customHeight="1">
      <c r="A101" s="121">
        <v>95</v>
      </c>
      <c r="B101" s="134" t="s">
        <v>314</v>
      </c>
      <c r="C101" s="123">
        <v>31193</v>
      </c>
      <c r="D101" s="135" t="s">
        <v>315</v>
      </c>
      <c r="E101" s="121" t="s">
        <v>316</v>
      </c>
      <c r="F101" s="131"/>
    </row>
    <row r="102" spans="1:6" s="132" customFormat="1" ht="36.75" customHeight="1">
      <c r="A102" s="121">
        <v>96</v>
      </c>
      <c r="B102" s="134" t="s">
        <v>318</v>
      </c>
      <c r="C102" s="123">
        <v>28919</v>
      </c>
      <c r="D102" s="135" t="s">
        <v>319</v>
      </c>
      <c r="E102" s="121" t="s">
        <v>321</v>
      </c>
      <c r="F102" s="131"/>
    </row>
    <row r="103" spans="1:6" s="132" customFormat="1" ht="36.75" customHeight="1">
      <c r="A103" s="121">
        <v>97</v>
      </c>
      <c r="B103" s="122" t="s">
        <v>323</v>
      </c>
      <c r="C103" s="125" t="s">
        <v>324</v>
      </c>
      <c r="D103" s="153" t="s">
        <v>325</v>
      </c>
      <c r="E103" s="121" t="s">
        <v>321</v>
      </c>
      <c r="F103" s="131"/>
    </row>
    <row r="104" spans="1:6" s="132" customFormat="1" ht="36.75" customHeight="1">
      <c r="A104" s="121">
        <v>98</v>
      </c>
      <c r="B104" s="134" t="s">
        <v>327</v>
      </c>
      <c r="C104" s="123">
        <v>29811</v>
      </c>
      <c r="D104" s="135" t="s">
        <v>328</v>
      </c>
      <c r="E104" s="121" t="s">
        <v>329</v>
      </c>
      <c r="F104" s="131"/>
    </row>
    <row r="105" spans="1:6" s="132" customFormat="1" ht="36.75" customHeight="1">
      <c r="A105" s="121">
        <v>99</v>
      </c>
      <c r="B105" s="134" t="s">
        <v>331</v>
      </c>
      <c r="C105" s="123">
        <v>33079</v>
      </c>
      <c r="D105" s="135" t="s">
        <v>332</v>
      </c>
      <c r="E105" s="121" t="s">
        <v>333</v>
      </c>
      <c r="F105" s="131"/>
    </row>
    <row r="106" spans="1:6" s="132" customFormat="1" ht="36.75" customHeight="1">
      <c r="A106" s="121">
        <v>100</v>
      </c>
      <c r="B106" s="134" t="s">
        <v>334</v>
      </c>
      <c r="C106" s="123">
        <v>32052</v>
      </c>
      <c r="D106" s="135" t="s">
        <v>335</v>
      </c>
      <c r="E106" s="121" t="s">
        <v>333</v>
      </c>
      <c r="F106" s="131"/>
    </row>
    <row r="107" spans="1:6" s="132" customFormat="1" ht="36.75" customHeight="1">
      <c r="A107" s="121">
        <v>101</v>
      </c>
      <c r="B107" s="122" t="s">
        <v>336</v>
      </c>
      <c r="C107" s="125" t="s">
        <v>337</v>
      </c>
      <c r="D107" s="153" t="s">
        <v>338</v>
      </c>
      <c r="E107" s="121" t="s">
        <v>333</v>
      </c>
      <c r="F107" s="169"/>
    </row>
    <row r="108" spans="1:6" s="174" customFormat="1" ht="36.75" customHeight="1">
      <c r="A108" s="121">
        <v>102</v>
      </c>
      <c r="B108" s="144" t="s">
        <v>339</v>
      </c>
      <c r="C108" s="170">
        <v>23882</v>
      </c>
      <c r="D108" s="171" t="s">
        <v>340</v>
      </c>
      <c r="E108" s="172" t="s">
        <v>341</v>
      </c>
      <c r="F108" s="163" t="s">
        <v>266</v>
      </c>
    </row>
    <row r="109" spans="1:6" s="132" customFormat="1" ht="36.75" customHeight="1">
      <c r="A109" s="121">
        <v>103</v>
      </c>
      <c r="B109" s="126" t="s">
        <v>342</v>
      </c>
      <c r="C109" s="129">
        <v>22283</v>
      </c>
      <c r="D109" s="171" t="s">
        <v>343</v>
      </c>
      <c r="E109" s="125" t="s">
        <v>341</v>
      </c>
      <c r="F109" s="163" t="s">
        <v>266</v>
      </c>
    </row>
    <row r="110" spans="1:6" s="132" customFormat="1" ht="36.75" customHeight="1">
      <c r="A110" s="121">
        <v>104</v>
      </c>
      <c r="B110" s="126" t="s">
        <v>344</v>
      </c>
      <c r="C110" s="129">
        <v>24749</v>
      </c>
      <c r="D110" s="171" t="s">
        <v>345</v>
      </c>
      <c r="E110" s="125" t="s">
        <v>346</v>
      </c>
      <c r="F110" s="163" t="s">
        <v>266</v>
      </c>
    </row>
    <row r="111" spans="1:6" s="132" customFormat="1" ht="36.75" customHeight="1">
      <c r="A111" s="121">
        <v>105</v>
      </c>
      <c r="B111" s="126" t="s">
        <v>347</v>
      </c>
      <c r="C111" s="129">
        <v>25868</v>
      </c>
      <c r="D111" s="171" t="s">
        <v>348</v>
      </c>
      <c r="E111" s="125" t="s">
        <v>346</v>
      </c>
      <c r="F111" s="163" t="s">
        <v>266</v>
      </c>
    </row>
    <row r="112" spans="1:6" s="132" customFormat="1" ht="36.75" customHeight="1">
      <c r="A112" s="121">
        <v>106</v>
      </c>
      <c r="B112" s="131" t="s">
        <v>349</v>
      </c>
      <c r="C112" s="175">
        <v>26230</v>
      </c>
      <c r="D112" s="135" t="s">
        <v>350</v>
      </c>
      <c r="E112" s="121" t="s">
        <v>351</v>
      </c>
      <c r="F112" s="163" t="s">
        <v>266</v>
      </c>
    </row>
    <row r="113" spans="1:6" s="132" customFormat="1" ht="36.75" customHeight="1">
      <c r="A113" s="121">
        <v>107</v>
      </c>
      <c r="B113" s="131" t="s">
        <v>352</v>
      </c>
      <c r="C113" s="175">
        <v>24513</v>
      </c>
      <c r="D113" s="135" t="s">
        <v>353</v>
      </c>
      <c r="E113" s="121" t="s">
        <v>351</v>
      </c>
      <c r="F113" s="163" t="s">
        <v>266</v>
      </c>
    </row>
    <row r="114" spans="1:6" s="164" customFormat="1" ht="36.75" customHeight="1">
      <c r="A114" s="121">
        <v>108</v>
      </c>
      <c r="B114" s="176" t="s">
        <v>354</v>
      </c>
      <c r="C114" s="160">
        <v>24190</v>
      </c>
      <c r="D114" s="168" t="s">
        <v>355</v>
      </c>
      <c r="E114" s="162" t="s">
        <v>351</v>
      </c>
      <c r="F114" s="163" t="s">
        <v>266</v>
      </c>
    </row>
    <row r="115" spans="1:6" s="164" customFormat="1" ht="36.75" customHeight="1">
      <c r="A115" s="121">
        <v>109</v>
      </c>
      <c r="B115" s="177" t="s">
        <v>356</v>
      </c>
      <c r="C115" s="178">
        <v>25878</v>
      </c>
      <c r="D115" s="168" t="s">
        <v>357</v>
      </c>
      <c r="E115" s="162" t="s">
        <v>358</v>
      </c>
      <c r="F115" s="163" t="s">
        <v>266</v>
      </c>
    </row>
    <row r="116" spans="1:6" s="132" customFormat="1" ht="36.75" customHeight="1">
      <c r="A116" s="121">
        <v>110</v>
      </c>
      <c r="B116" s="173" t="s">
        <v>359</v>
      </c>
      <c r="C116" s="175">
        <v>23016</v>
      </c>
      <c r="D116" s="135" t="s">
        <v>360</v>
      </c>
      <c r="E116" s="121" t="s">
        <v>358</v>
      </c>
      <c r="F116" s="163" t="s">
        <v>266</v>
      </c>
    </row>
    <row r="117" spans="1:6" s="132" customFormat="1" ht="36.75" customHeight="1">
      <c r="A117" s="121">
        <v>111</v>
      </c>
      <c r="B117" s="173" t="s">
        <v>361</v>
      </c>
      <c r="C117" s="175">
        <v>24735</v>
      </c>
      <c r="D117" s="135" t="s">
        <v>362</v>
      </c>
      <c r="E117" s="121" t="s">
        <v>358</v>
      </c>
      <c r="F117" s="163" t="s">
        <v>266</v>
      </c>
    </row>
    <row r="118" spans="1:6" ht="13.5" customHeight="1">
      <c r="A118" s="21"/>
      <c r="B118" s="28"/>
      <c r="C118" s="28"/>
      <c r="D118" s="33"/>
      <c r="E118" s="33"/>
      <c r="F118" s="28"/>
    </row>
    <row r="122" spans="1:6" ht="20.25" customHeight="1">
      <c r="E122" s="120" t="s">
        <v>442</v>
      </c>
    </row>
    <row r="123" spans="1:6" ht="20.25" customHeight="1">
      <c r="E123" s="118" t="s">
        <v>439</v>
      </c>
    </row>
    <row r="127" spans="1:6" ht="20.25" customHeight="1">
      <c r="E127" s="118" t="s">
        <v>19</v>
      </c>
    </row>
    <row r="129" spans="1:6" ht="20.25" hidden="1" customHeight="1">
      <c r="A129" s="21">
        <v>82</v>
      </c>
      <c r="B129" s="25" t="s">
        <v>364</v>
      </c>
      <c r="C129" s="27">
        <v>38084</v>
      </c>
      <c r="D129" s="101" t="s">
        <v>365</v>
      </c>
      <c r="E129" s="21" t="s">
        <v>273</v>
      </c>
      <c r="F129" s="28"/>
    </row>
  </sheetData>
  <autoFilter ref="A6:O120"/>
  <mergeCells count="4">
    <mergeCell ref="A1:D1"/>
    <mergeCell ref="A2:D2"/>
    <mergeCell ref="A3:F3"/>
    <mergeCell ref="A4:F4"/>
  </mergeCells>
  <pageMargins left="0.62" right="0.18" top="0.26" bottom="0.2" header="0.21" footer="0.2"/>
  <pageSetup scale="86" fitToHeight="0"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4"/>
  <sheetViews>
    <sheetView tabSelected="1" topLeftCell="A79" workbookViewId="0">
      <selection activeCell="E101" sqref="E101"/>
    </sheetView>
  </sheetViews>
  <sheetFormatPr defaultColWidth="9.33203125" defaultRowHeight="20.25" customHeight="1"/>
  <cols>
    <col min="1" max="1" width="7" style="15" customWidth="1"/>
    <col min="2" max="2" width="27.1640625" style="14" customWidth="1"/>
    <col min="3" max="3" width="15.33203125" style="14" customWidth="1"/>
    <col min="4" max="5" width="10.33203125" style="14" customWidth="1"/>
    <col min="6" max="6" width="10.83203125" style="14" customWidth="1"/>
    <col min="7" max="7" width="15.33203125" style="15" customWidth="1"/>
    <col min="8" max="10" width="10.1640625" style="15" customWidth="1"/>
    <col min="11" max="11" width="11.5" style="15" customWidth="1"/>
    <col min="12" max="12" width="22.33203125" style="15" customWidth="1"/>
    <col min="13" max="13" width="43" style="14" customWidth="1"/>
    <col min="14" max="14" width="19.6640625" style="14" customWidth="1"/>
    <col min="15" max="15" width="8.5" style="14" customWidth="1"/>
    <col min="16" max="16" width="26.83203125" style="14" customWidth="1"/>
    <col min="17" max="17" width="11.33203125" style="14" customWidth="1"/>
    <col min="18" max="16384" width="9.33203125" style="14"/>
  </cols>
  <sheetData>
    <row r="1" spans="1:16" ht="23.25" customHeight="1">
      <c r="A1" s="185" t="s">
        <v>0</v>
      </c>
      <c r="B1" s="185"/>
      <c r="C1" s="185"/>
      <c r="D1" s="185"/>
      <c r="E1" s="185"/>
      <c r="F1" s="185"/>
      <c r="G1" s="185"/>
      <c r="H1" s="185"/>
      <c r="I1" s="102"/>
      <c r="J1" s="102"/>
      <c r="K1" s="48"/>
      <c r="L1" s="186"/>
      <c r="M1" s="186"/>
      <c r="N1" s="103"/>
    </row>
    <row r="2" spans="1:16" ht="27.75" customHeight="1">
      <c r="A2" s="187" t="s">
        <v>1</v>
      </c>
      <c r="B2" s="187"/>
      <c r="C2" s="187"/>
      <c r="D2" s="187"/>
      <c r="E2" s="187"/>
      <c r="F2" s="187"/>
      <c r="G2" s="187"/>
      <c r="H2" s="187"/>
      <c r="I2" s="104"/>
      <c r="J2" s="104"/>
      <c r="K2" s="48"/>
      <c r="L2" s="103"/>
      <c r="M2" s="103"/>
      <c r="N2" s="103"/>
    </row>
    <row r="3" spans="1:16" ht="50.25" customHeight="1">
      <c r="A3" s="188" t="s">
        <v>397</v>
      </c>
      <c r="B3" s="188"/>
      <c r="C3" s="188"/>
      <c r="D3" s="188"/>
      <c r="E3" s="188"/>
      <c r="F3" s="188"/>
      <c r="G3" s="188"/>
      <c r="H3" s="188"/>
      <c r="I3" s="188"/>
      <c r="J3" s="188"/>
      <c r="K3" s="188"/>
      <c r="L3" s="188"/>
      <c r="M3" s="188"/>
      <c r="N3" s="188"/>
      <c r="O3" s="188"/>
    </row>
    <row r="4" spans="1:16" ht="24.75" customHeight="1">
      <c r="A4" s="189" t="s">
        <v>3</v>
      </c>
      <c r="B4" s="189"/>
      <c r="C4" s="189"/>
      <c r="D4" s="189"/>
      <c r="E4" s="189"/>
      <c r="F4" s="189"/>
      <c r="G4" s="189"/>
      <c r="H4" s="189"/>
      <c r="I4" s="189"/>
      <c r="J4" s="189"/>
      <c r="K4" s="189"/>
      <c r="L4" s="189"/>
      <c r="M4" s="189"/>
      <c r="N4" s="189"/>
      <c r="O4" s="189"/>
    </row>
    <row r="5" spans="1:16" ht="11.25" customHeight="1">
      <c r="A5" s="19"/>
      <c r="B5" s="19"/>
      <c r="C5" s="19"/>
      <c r="D5" s="19"/>
      <c r="E5" s="19"/>
      <c r="F5" s="19"/>
      <c r="G5" s="19"/>
      <c r="H5" s="19"/>
      <c r="I5" s="19"/>
      <c r="J5" s="19"/>
      <c r="K5" s="19"/>
      <c r="L5" s="19"/>
      <c r="M5" s="19"/>
      <c r="N5" s="19"/>
      <c r="O5" s="19"/>
    </row>
    <row r="6" spans="1:16" s="13" customFormat="1" ht="64.5" customHeight="1">
      <c r="A6" s="51" t="s">
        <v>4</v>
      </c>
      <c r="B6" s="51" t="s">
        <v>5</v>
      </c>
      <c r="C6" s="20" t="s">
        <v>6</v>
      </c>
      <c r="D6" s="20" t="s">
        <v>7</v>
      </c>
      <c r="E6" s="20" t="s">
        <v>8</v>
      </c>
      <c r="F6" s="20" t="s">
        <v>9</v>
      </c>
      <c r="G6" s="20" t="s">
        <v>10</v>
      </c>
      <c r="H6" s="20" t="s">
        <v>11</v>
      </c>
      <c r="I6" s="20" t="s">
        <v>12</v>
      </c>
      <c r="J6" s="20" t="s">
        <v>13</v>
      </c>
      <c r="K6" s="20" t="s">
        <v>14</v>
      </c>
      <c r="L6" s="20" t="s">
        <v>15</v>
      </c>
      <c r="M6" s="20" t="s">
        <v>16</v>
      </c>
      <c r="N6" s="20" t="s">
        <v>17</v>
      </c>
      <c r="O6" s="51" t="s">
        <v>18</v>
      </c>
    </row>
    <row r="7" spans="1:16" s="13" customFormat="1" ht="39.6" customHeight="1">
      <c r="A7" s="21">
        <v>1</v>
      </c>
      <c r="B7" s="22" t="s">
        <v>19</v>
      </c>
      <c r="C7" s="23">
        <v>30212</v>
      </c>
      <c r="D7" s="23" t="s">
        <v>20</v>
      </c>
      <c r="E7" s="23" t="s">
        <v>21</v>
      </c>
      <c r="F7" s="52">
        <f ca="1">YEARFRAC(C7,TODAY(),1)</f>
        <v>44.055427111219274</v>
      </c>
      <c r="G7" s="94" t="s">
        <v>22</v>
      </c>
      <c r="H7" s="24">
        <v>2007</v>
      </c>
      <c r="I7" s="24">
        <v>1</v>
      </c>
      <c r="J7" s="24" t="s">
        <v>23</v>
      </c>
      <c r="K7" s="24" t="s">
        <v>24</v>
      </c>
      <c r="L7" s="24" t="s">
        <v>25</v>
      </c>
      <c r="M7" s="25" t="s">
        <v>26</v>
      </c>
      <c r="N7" s="25"/>
      <c r="O7" s="26"/>
    </row>
    <row r="8" spans="1:16" ht="75.75" customHeight="1">
      <c r="A8" s="21">
        <v>2</v>
      </c>
      <c r="B8" s="22" t="s">
        <v>27</v>
      </c>
      <c r="C8" s="27">
        <v>28144</v>
      </c>
      <c r="D8" s="23" t="s">
        <v>20</v>
      </c>
      <c r="E8" s="23" t="s">
        <v>21</v>
      </c>
      <c r="F8" s="52">
        <f t="shared" ref="F8:F72" ca="1" si="0">YEARFRAC(C8,TODAY(),1)</f>
        <v>49.717993648012268</v>
      </c>
      <c r="G8" s="95" t="s">
        <v>28</v>
      </c>
      <c r="H8" s="24">
        <v>2000</v>
      </c>
      <c r="I8" s="24">
        <v>1</v>
      </c>
      <c r="J8" s="24" t="s">
        <v>23</v>
      </c>
      <c r="K8" s="24" t="s">
        <v>24</v>
      </c>
      <c r="L8" s="24" t="s">
        <v>29</v>
      </c>
      <c r="M8" s="25" t="s">
        <v>30</v>
      </c>
      <c r="N8" s="25"/>
      <c r="O8" s="28"/>
    </row>
    <row r="9" spans="1:16" ht="96" customHeight="1">
      <c r="A9" s="21">
        <v>3</v>
      </c>
      <c r="B9" s="29" t="s">
        <v>31</v>
      </c>
      <c r="C9" s="23">
        <v>34132</v>
      </c>
      <c r="D9" s="23" t="s">
        <v>20</v>
      </c>
      <c r="E9" s="23" t="s">
        <v>21</v>
      </c>
      <c r="F9" s="52">
        <f t="shared" ca="1" si="0"/>
        <v>33.323723626993072</v>
      </c>
      <c r="G9" s="94" t="s">
        <v>32</v>
      </c>
      <c r="H9" s="24">
        <v>2013</v>
      </c>
      <c r="I9" s="24">
        <v>1</v>
      </c>
      <c r="J9" s="24" t="s">
        <v>23</v>
      </c>
      <c r="K9" s="24" t="s">
        <v>24</v>
      </c>
      <c r="L9" s="24" t="s">
        <v>33</v>
      </c>
      <c r="M9" s="25" t="s">
        <v>34</v>
      </c>
      <c r="N9" s="25"/>
      <c r="O9" s="28"/>
    </row>
    <row r="10" spans="1:16" ht="30" customHeight="1">
      <c r="A10" s="21">
        <v>4</v>
      </c>
      <c r="B10" s="30" t="s">
        <v>446</v>
      </c>
      <c r="C10" s="23">
        <v>24102</v>
      </c>
      <c r="D10" s="23" t="s">
        <v>246</v>
      </c>
      <c r="E10" s="23" t="s">
        <v>21</v>
      </c>
      <c r="F10" s="52"/>
      <c r="G10" s="94" t="s">
        <v>447</v>
      </c>
      <c r="H10" s="24">
        <v>1987</v>
      </c>
      <c r="I10" s="24">
        <v>1</v>
      </c>
      <c r="J10" s="24" t="s">
        <v>448</v>
      </c>
      <c r="K10" s="24" t="s">
        <v>37</v>
      </c>
      <c r="L10" s="24" t="s">
        <v>449</v>
      </c>
      <c r="M10" s="25"/>
      <c r="N10" s="25"/>
      <c r="O10" s="28"/>
    </row>
    <row r="11" spans="1:16" ht="37.5" customHeight="1">
      <c r="A11" s="21">
        <v>5</v>
      </c>
      <c r="B11" s="32" t="s">
        <v>35</v>
      </c>
      <c r="C11" s="23">
        <v>25697</v>
      </c>
      <c r="D11" s="23" t="s">
        <v>20</v>
      </c>
      <c r="E11" s="23" t="s">
        <v>21</v>
      </c>
      <c r="F11" s="52">
        <f t="shared" ca="1" si="0"/>
        <v>56.416830779576344</v>
      </c>
      <c r="G11" s="96" t="s">
        <v>36</v>
      </c>
      <c r="H11" s="24">
        <v>1991</v>
      </c>
      <c r="I11" s="24">
        <v>1</v>
      </c>
      <c r="J11" s="24"/>
      <c r="K11" s="24" t="s">
        <v>37</v>
      </c>
      <c r="L11" s="24" t="s">
        <v>38</v>
      </c>
      <c r="M11" s="25" t="s">
        <v>39</v>
      </c>
      <c r="N11" s="25" t="s">
        <v>40</v>
      </c>
      <c r="O11" s="28"/>
    </row>
    <row r="12" spans="1:16" ht="24.75" customHeight="1">
      <c r="A12" s="21">
        <v>6</v>
      </c>
      <c r="B12" s="32" t="s">
        <v>41</v>
      </c>
      <c r="C12" s="23">
        <v>33483</v>
      </c>
      <c r="D12" s="23" t="s">
        <v>20</v>
      </c>
      <c r="E12" s="23" t="s">
        <v>21</v>
      </c>
      <c r="F12" s="52">
        <f t="shared" ca="1" si="0"/>
        <v>35.09924709103354</v>
      </c>
      <c r="G12" s="96" t="s">
        <v>42</v>
      </c>
      <c r="H12" s="24">
        <v>2011</v>
      </c>
      <c r="I12" s="24"/>
      <c r="J12" s="24"/>
      <c r="K12" s="24" t="s">
        <v>37</v>
      </c>
      <c r="L12" s="24" t="s">
        <v>43</v>
      </c>
      <c r="M12" s="25" t="s">
        <v>44</v>
      </c>
      <c r="N12" s="25"/>
      <c r="O12" s="28"/>
    </row>
    <row r="13" spans="1:16" ht="24.75" customHeight="1">
      <c r="A13" s="21">
        <v>7</v>
      </c>
      <c r="B13" s="32" t="s">
        <v>45</v>
      </c>
      <c r="C13" s="23">
        <v>26644</v>
      </c>
      <c r="D13" s="23" t="s">
        <v>20</v>
      </c>
      <c r="E13" s="23" t="s">
        <v>21</v>
      </c>
      <c r="F13" s="52">
        <f t="shared" ca="1" si="0"/>
        <v>53.82273881228533</v>
      </c>
      <c r="G13" s="96" t="s">
        <v>46</v>
      </c>
      <c r="H13" s="24">
        <v>1991</v>
      </c>
      <c r="I13" s="24">
        <v>1</v>
      </c>
      <c r="J13" s="24"/>
      <c r="K13" s="24" t="s">
        <v>37</v>
      </c>
      <c r="L13" s="24" t="s">
        <v>43</v>
      </c>
      <c r="M13" s="25" t="s">
        <v>47</v>
      </c>
      <c r="N13" s="25"/>
      <c r="O13" s="28"/>
    </row>
    <row r="14" spans="1:16" ht="24.75" customHeight="1">
      <c r="A14" s="21">
        <v>8</v>
      </c>
      <c r="B14" s="32" t="s">
        <v>48</v>
      </c>
      <c r="C14" s="54">
        <v>34393</v>
      </c>
      <c r="D14" s="23" t="s">
        <v>20</v>
      </c>
      <c r="E14" s="23" t="s">
        <v>21</v>
      </c>
      <c r="F14" s="52">
        <f t="shared" ca="1" si="0"/>
        <v>32.608479216792496</v>
      </c>
      <c r="G14" s="96" t="s">
        <v>49</v>
      </c>
      <c r="H14" s="24">
        <v>2016</v>
      </c>
      <c r="I14" s="24"/>
      <c r="J14" s="24"/>
      <c r="K14" s="24" t="s">
        <v>37</v>
      </c>
      <c r="L14" s="24" t="s">
        <v>43</v>
      </c>
      <c r="M14" s="25" t="s">
        <v>50</v>
      </c>
      <c r="N14" s="25"/>
      <c r="O14" s="28"/>
    </row>
    <row r="15" spans="1:16" ht="24.75" customHeight="1">
      <c r="A15" s="21">
        <v>9</v>
      </c>
      <c r="B15" s="32" t="s">
        <v>51</v>
      </c>
      <c r="C15" s="94" t="s">
        <v>52</v>
      </c>
      <c r="D15" s="23" t="s">
        <v>20</v>
      </c>
      <c r="E15" s="23" t="s">
        <v>21</v>
      </c>
      <c r="F15" s="52">
        <f t="shared" ca="1" si="0"/>
        <v>32.589313863768353</v>
      </c>
      <c r="G15" s="96" t="s">
        <v>53</v>
      </c>
      <c r="H15" s="24">
        <v>2017</v>
      </c>
      <c r="I15" s="24">
        <v>1</v>
      </c>
      <c r="J15" s="24"/>
      <c r="K15" s="24" t="s">
        <v>37</v>
      </c>
      <c r="L15" s="24" t="s">
        <v>43</v>
      </c>
      <c r="M15" s="25" t="s">
        <v>54</v>
      </c>
      <c r="N15" s="25"/>
      <c r="O15" s="28"/>
      <c r="P15" s="14" t="s">
        <v>55</v>
      </c>
    </row>
    <row r="16" spans="1:16" ht="24.75" customHeight="1">
      <c r="A16" s="21">
        <v>10</v>
      </c>
      <c r="B16" s="32" t="s">
        <v>56</v>
      </c>
      <c r="C16" s="23">
        <v>27247</v>
      </c>
      <c r="D16" s="23" t="s">
        <v>20</v>
      </c>
      <c r="E16" s="23" t="s">
        <v>21</v>
      </c>
      <c r="F16" s="52">
        <f t="shared" ca="1" si="0"/>
        <v>52.173158384130588</v>
      </c>
      <c r="G16" s="96" t="s">
        <v>57</v>
      </c>
      <c r="H16" s="24">
        <v>1993</v>
      </c>
      <c r="I16" s="24">
        <v>1</v>
      </c>
      <c r="J16" s="24" t="s">
        <v>23</v>
      </c>
      <c r="K16" s="24" t="s">
        <v>37</v>
      </c>
      <c r="L16" s="24" t="s">
        <v>43</v>
      </c>
      <c r="M16" s="25" t="s">
        <v>58</v>
      </c>
      <c r="N16" s="25"/>
      <c r="O16" s="28"/>
    </row>
    <row r="17" spans="1:24" ht="24.75" customHeight="1">
      <c r="A17" s="21">
        <v>11</v>
      </c>
      <c r="B17" s="32" t="s">
        <v>59</v>
      </c>
      <c r="C17" s="23">
        <v>27147</v>
      </c>
      <c r="D17" s="23" t="s">
        <v>20</v>
      </c>
      <c r="E17" s="23" t="s">
        <v>21</v>
      </c>
      <c r="F17" s="52">
        <f t="shared" ca="1" si="0"/>
        <v>52.446946998656884</v>
      </c>
      <c r="G17" s="96" t="s">
        <v>60</v>
      </c>
      <c r="H17" s="24">
        <v>1996</v>
      </c>
      <c r="I17" s="24">
        <v>1</v>
      </c>
      <c r="J17" s="24"/>
      <c r="K17" s="24" t="s">
        <v>37</v>
      </c>
      <c r="L17" s="24" t="s">
        <v>43</v>
      </c>
      <c r="M17" s="25" t="s">
        <v>61</v>
      </c>
      <c r="N17" s="25"/>
      <c r="O17" s="24"/>
    </row>
    <row r="18" spans="1:24" ht="24.75" customHeight="1">
      <c r="A18" s="21">
        <v>12</v>
      </c>
      <c r="B18" s="55" t="s">
        <v>62</v>
      </c>
      <c r="C18" s="23">
        <v>28755</v>
      </c>
      <c r="D18" s="23" t="s">
        <v>20</v>
      </c>
      <c r="E18" s="23" t="s">
        <v>21</v>
      </c>
      <c r="F18" s="52">
        <f t="shared" ca="1" si="0"/>
        <v>48.044476727943234</v>
      </c>
      <c r="G18" s="96" t="s">
        <v>63</v>
      </c>
      <c r="H18" s="24">
        <v>2007</v>
      </c>
      <c r="I18" s="24"/>
      <c r="J18" s="24"/>
      <c r="K18" s="24" t="s">
        <v>37</v>
      </c>
      <c r="L18" s="24" t="s">
        <v>43</v>
      </c>
      <c r="M18" s="25" t="s">
        <v>64</v>
      </c>
      <c r="N18" s="25"/>
      <c r="O18" s="24"/>
      <c r="P18" s="36"/>
      <c r="Q18" s="37"/>
      <c r="R18" s="37"/>
      <c r="S18" s="38"/>
      <c r="T18" s="39"/>
      <c r="U18" s="39"/>
      <c r="V18" s="40"/>
      <c r="W18" s="40"/>
      <c r="X18" s="40"/>
    </row>
    <row r="19" spans="1:24" ht="24.75" customHeight="1">
      <c r="A19" s="21">
        <v>13</v>
      </c>
      <c r="B19" s="25" t="s">
        <v>65</v>
      </c>
      <c r="C19" s="24" t="str">
        <f>VLOOKUP(B19,[1]Sheet1!$C$7:$D$41,2,0)</f>
        <v>02/06/2000</v>
      </c>
      <c r="D19" s="23" t="s">
        <v>20</v>
      </c>
      <c r="E19" s="23" t="s">
        <v>21</v>
      </c>
      <c r="F19" s="52">
        <f t="shared" ca="1" si="0"/>
        <v>26.348408030825393</v>
      </c>
      <c r="G19" s="24" t="str">
        <f>VLOOKUP(B19,[1]Sheet1!$C$7:$H$41,6,0)</f>
        <v>0329368788</v>
      </c>
      <c r="H19" s="24">
        <v>2025</v>
      </c>
      <c r="I19" s="24"/>
      <c r="J19" s="24"/>
      <c r="K19" s="24" t="s">
        <v>37</v>
      </c>
      <c r="L19" s="24" t="s">
        <v>43</v>
      </c>
      <c r="M19" s="25" t="s">
        <v>66</v>
      </c>
      <c r="N19" s="25"/>
      <c r="O19" s="24"/>
      <c r="P19" s="36"/>
      <c r="Q19" s="37"/>
      <c r="R19" s="37"/>
      <c r="S19" s="38"/>
      <c r="T19" s="39"/>
      <c r="U19" s="39"/>
      <c r="V19" s="40"/>
      <c r="W19" s="40"/>
      <c r="X19" s="40"/>
    </row>
    <row r="20" spans="1:24" ht="24.75" customHeight="1">
      <c r="A20" s="21">
        <v>14</v>
      </c>
      <c r="B20" s="25" t="s">
        <v>67</v>
      </c>
      <c r="C20" s="24" t="str">
        <f>VLOOKUP(B20,[1]Sheet1!$C$7:$D$41,2,0)</f>
        <v>27/01/1991</v>
      </c>
      <c r="D20" s="23" t="s">
        <v>20</v>
      </c>
      <c r="E20" s="23" t="s">
        <v>21</v>
      </c>
      <c r="F20" s="52">
        <f t="shared" ca="1" si="0"/>
        <v>35.696098562628336</v>
      </c>
      <c r="G20" s="24" t="str">
        <f>VLOOKUP(B20,[1]Sheet1!$C$7:$H$41,6,0)</f>
        <v>0397930486</v>
      </c>
      <c r="H20" s="24">
        <v>2020</v>
      </c>
      <c r="I20" s="24"/>
      <c r="J20" s="24"/>
      <c r="K20" s="24" t="s">
        <v>37</v>
      </c>
      <c r="L20" s="24" t="s">
        <v>43</v>
      </c>
      <c r="M20" s="25" t="s">
        <v>68</v>
      </c>
      <c r="N20" s="25"/>
      <c r="O20" s="24"/>
      <c r="P20" s="36"/>
      <c r="Q20" s="37"/>
      <c r="R20" s="37"/>
      <c r="S20" s="38"/>
      <c r="T20" s="39"/>
      <c r="U20" s="39"/>
      <c r="V20" s="40"/>
      <c r="W20" s="40"/>
      <c r="X20" s="40"/>
    </row>
    <row r="21" spans="1:24" ht="24.75" customHeight="1">
      <c r="A21" s="21">
        <v>15</v>
      </c>
      <c r="B21" s="25" t="s">
        <v>69</v>
      </c>
      <c r="C21" s="24" t="str">
        <f>VLOOKUP(B21,[1]Sheet1!$C$7:$D$41,2,0)</f>
        <v>25/10/1974</v>
      </c>
      <c r="D21" s="23" t="s">
        <v>20</v>
      </c>
      <c r="E21" s="23" t="s">
        <v>21</v>
      </c>
      <c r="F21" s="52">
        <f t="shared" ca="1" si="0"/>
        <v>51.954127492509556</v>
      </c>
      <c r="G21" s="24" t="str">
        <f>VLOOKUP(B21,[1]Sheet1!$C$7:$H$41,6,0)</f>
        <v>0984039736</v>
      </c>
      <c r="H21" s="24">
        <v>1996</v>
      </c>
      <c r="I21" s="24">
        <v>1</v>
      </c>
      <c r="J21" s="24"/>
      <c r="K21" s="24" t="s">
        <v>37</v>
      </c>
      <c r="L21" s="24" t="s">
        <v>43</v>
      </c>
      <c r="M21" s="25" t="s">
        <v>70</v>
      </c>
      <c r="N21" s="25" t="s">
        <v>71</v>
      </c>
      <c r="O21" s="24"/>
      <c r="P21" s="36"/>
      <c r="Q21" s="37"/>
      <c r="R21" s="37"/>
      <c r="S21" s="38"/>
      <c r="T21" s="39"/>
      <c r="U21" s="39"/>
      <c r="V21" s="40"/>
      <c r="W21" s="40"/>
      <c r="X21" s="40"/>
    </row>
    <row r="22" spans="1:24" ht="24.75" customHeight="1">
      <c r="A22" s="21">
        <v>16</v>
      </c>
      <c r="B22" s="32" t="s">
        <v>72</v>
      </c>
      <c r="C22" s="23">
        <v>26962</v>
      </c>
      <c r="D22" s="23" t="s">
        <v>20</v>
      </c>
      <c r="E22" s="23" t="s">
        <v>21</v>
      </c>
      <c r="F22" s="52">
        <f t="shared" ca="1" si="0"/>
        <v>52.954114485625915</v>
      </c>
      <c r="G22" s="96" t="s">
        <v>73</v>
      </c>
      <c r="H22" s="24">
        <v>1991</v>
      </c>
      <c r="I22" s="24">
        <v>1</v>
      </c>
      <c r="J22" s="24"/>
      <c r="K22" s="24" t="s">
        <v>37</v>
      </c>
      <c r="L22" s="24" t="s">
        <v>43</v>
      </c>
      <c r="M22" s="25" t="s">
        <v>74</v>
      </c>
      <c r="N22" s="25"/>
      <c r="O22" s="24"/>
      <c r="P22" s="36"/>
      <c r="Q22" s="37"/>
      <c r="R22" s="37"/>
      <c r="S22" s="38"/>
      <c r="T22" s="39"/>
      <c r="U22" s="39"/>
      <c r="V22" s="40"/>
      <c r="W22" s="40"/>
      <c r="X22" s="40"/>
    </row>
    <row r="23" spans="1:24" ht="24.75" customHeight="1">
      <c r="A23" s="21">
        <v>17</v>
      </c>
      <c r="B23" s="32" t="s">
        <v>75</v>
      </c>
      <c r="C23" s="23">
        <v>27715</v>
      </c>
      <c r="D23" s="23" t="s">
        <v>20</v>
      </c>
      <c r="E23" s="23" t="s">
        <v>21</v>
      </c>
      <c r="F23" s="52">
        <f t="shared" ca="1" si="0"/>
        <v>50.891170431211499</v>
      </c>
      <c r="G23" s="96" t="s">
        <v>76</v>
      </c>
      <c r="H23" s="24">
        <v>1996</v>
      </c>
      <c r="I23" s="24">
        <v>1</v>
      </c>
      <c r="J23" s="24"/>
      <c r="K23" s="24" t="s">
        <v>37</v>
      </c>
      <c r="L23" s="24" t="s">
        <v>43</v>
      </c>
      <c r="M23" s="25" t="s">
        <v>77</v>
      </c>
      <c r="N23" s="25"/>
      <c r="O23" s="24"/>
      <c r="W23" s="40"/>
      <c r="X23" s="40"/>
    </row>
    <row r="24" spans="1:24" ht="24.75" customHeight="1">
      <c r="A24" s="21">
        <v>18</v>
      </c>
      <c r="B24" s="32" t="s">
        <v>78</v>
      </c>
      <c r="C24" s="23">
        <v>32214</v>
      </c>
      <c r="D24" s="23" t="s">
        <v>20</v>
      </c>
      <c r="E24" s="23" t="s">
        <v>21</v>
      </c>
      <c r="F24" s="52">
        <f t="shared" ca="1" si="0"/>
        <v>38.572902772902772</v>
      </c>
      <c r="G24" s="96" t="s">
        <v>79</v>
      </c>
      <c r="H24" s="24">
        <v>2011</v>
      </c>
      <c r="I24" s="24">
        <v>1</v>
      </c>
      <c r="J24" s="24"/>
      <c r="K24" s="56" t="s">
        <v>24</v>
      </c>
      <c r="L24" s="24" t="s">
        <v>43</v>
      </c>
      <c r="M24" s="25" t="s">
        <v>80</v>
      </c>
      <c r="N24" s="25" t="s">
        <v>81</v>
      </c>
      <c r="O24" s="24"/>
    </row>
    <row r="25" spans="1:24" ht="24.75" customHeight="1">
      <c r="A25" s="21">
        <v>19</v>
      </c>
      <c r="B25" s="32" t="s">
        <v>82</v>
      </c>
      <c r="C25" s="23">
        <v>34652</v>
      </c>
      <c r="D25" s="23" t="s">
        <v>20</v>
      </c>
      <c r="E25" s="23" t="s">
        <v>21</v>
      </c>
      <c r="F25" s="52">
        <f t="shared" ca="1" si="0"/>
        <v>31.899361154899193</v>
      </c>
      <c r="G25" s="96" t="s">
        <v>83</v>
      </c>
      <c r="H25" s="57">
        <v>2020</v>
      </c>
      <c r="I25" s="57">
        <v>1</v>
      </c>
      <c r="J25" s="57"/>
      <c r="K25" s="24" t="s">
        <v>37</v>
      </c>
      <c r="L25" s="24" t="s">
        <v>43</v>
      </c>
      <c r="M25" s="25" t="s">
        <v>84</v>
      </c>
      <c r="N25" s="25"/>
      <c r="O25" s="24"/>
    </row>
    <row r="26" spans="1:24" ht="24.75" customHeight="1">
      <c r="A26" s="21">
        <v>20</v>
      </c>
      <c r="B26" s="32" t="s">
        <v>85</v>
      </c>
      <c r="C26" s="23">
        <v>32231</v>
      </c>
      <c r="D26" s="23" t="s">
        <v>20</v>
      </c>
      <c r="E26" s="23" t="s">
        <v>21</v>
      </c>
      <c r="F26" s="52">
        <f t="shared" ca="1" si="0"/>
        <v>38.526360126360125</v>
      </c>
      <c r="G26" s="96" t="s">
        <v>86</v>
      </c>
      <c r="H26" s="21">
        <v>2011</v>
      </c>
      <c r="I26" s="21">
        <v>1</v>
      </c>
      <c r="J26" s="21"/>
      <c r="K26" s="24" t="s">
        <v>37</v>
      </c>
      <c r="L26" s="24" t="s">
        <v>43</v>
      </c>
      <c r="M26" s="25" t="s">
        <v>87</v>
      </c>
      <c r="N26" s="25"/>
      <c r="O26" s="24"/>
    </row>
    <row r="27" spans="1:24" ht="24.75" customHeight="1">
      <c r="A27" s="21">
        <v>21</v>
      </c>
      <c r="B27" s="32" t="s">
        <v>88</v>
      </c>
      <c r="C27" s="23">
        <v>34925</v>
      </c>
      <c r="D27" s="23" t="s">
        <v>20</v>
      </c>
      <c r="E27" s="23" t="s">
        <v>21</v>
      </c>
      <c r="F27" s="52">
        <f t="shared" ca="1" si="0"/>
        <v>31.15126625598905</v>
      </c>
      <c r="G27" s="97" t="s">
        <v>89</v>
      </c>
      <c r="H27" s="24">
        <v>2020</v>
      </c>
      <c r="I27" s="24">
        <v>1</v>
      </c>
      <c r="J27" s="24" t="s">
        <v>23</v>
      </c>
      <c r="K27" s="24" t="s">
        <v>37</v>
      </c>
      <c r="L27" s="24" t="s">
        <v>43</v>
      </c>
      <c r="M27" s="25" t="s">
        <v>90</v>
      </c>
      <c r="N27" s="25"/>
      <c r="O27" s="24"/>
    </row>
    <row r="28" spans="1:24" ht="24.75" customHeight="1">
      <c r="A28" s="21">
        <v>22</v>
      </c>
      <c r="B28" s="32" t="s">
        <v>91</v>
      </c>
      <c r="C28" s="23">
        <v>35319</v>
      </c>
      <c r="D28" s="23" t="s">
        <v>20</v>
      </c>
      <c r="E28" s="23" t="s">
        <v>21</v>
      </c>
      <c r="F28" s="52">
        <f t="shared" ca="1" si="0"/>
        <v>30.071889075333392</v>
      </c>
      <c r="G28" s="96" t="s">
        <v>92</v>
      </c>
      <c r="H28" s="56">
        <v>2023</v>
      </c>
      <c r="I28" s="56">
        <v>1</v>
      </c>
      <c r="J28" s="56"/>
      <c r="K28" s="24" t="s">
        <v>37</v>
      </c>
      <c r="L28" s="24" t="s">
        <v>43</v>
      </c>
      <c r="M28" s="25" t="s">
        <v>93</v>
      </c>
      <c r="N28" s="25"/>
      <c r="O28" s="24"/>
    </row>
    <row r="29" spans="1:24" ht="24.75" customHeight="1">
      <c r="A29" s="21">
        <v>23</v>
      </c>
      <c r="B29" s="58" t="s">
        <v>94</v>
      </c>
      <c r="C29" s="54">
        <v>34578</v>
      </c>
      <c r="D29" s="23" t="s">
        <v>20</v>
      </c>
      <c r="E29" s="23" t="s">
        <v>21</v>
      </c>
      <c r="F29" s="52">
        <f t="shared" ca="1" si="0"/>
        <v>32.101966315440137</v>
      </c>
      <c r="G29" s="96" t="s">
        <v>95</v>
      </c>
      <c r="H29" s="56">
        <v>2017</v>
      </c>
      <c r="I29" s="56">
        <v>1</v>
      </c>
      <c r="J29" s="56"/>
      <c r="K29" s="24" t="s">
        <v>37</v>
      </c>
      <c r="L29" s="24" t="s">
        <v>43</v>
      </c>
      <c r="M29" s="25" t="s">
        <v>96</v>
      </c>
      <c r="N29" s="25"/>
      <c r="O29" s="24"/>
    </row>
    <row r="30" spans="1:24" ht="24.75" customHeight="1">
      <c r="A30" s="21">
        <v>24</v>
      </c>
      <c r="B30" s="58" t="s">
        <v>97</v>
      </c>
      <c r="C30" s="59">
        <v>32454</v>
      </c>
      <c r="D30" s="23" t="s">
        <v>20</v>
      </c>
      <c r="E30" s="23" t="s">
        <v>21</v>
      </c>
      <c r="F30" s="52">
        <f t="shared" ca="1" si="0"/>
        <v>37.915830115830111</v>
      </c>
      <c r="G30" s="96" t="s">
        <v>98</v>
      </c>
      <c r="H30" s="56">
        <v>2011</v>
      </c>
      <c r="I30" s="56">
        <v>1</v>
      </c>
      <c r="J30" s="24" t="s">
        <v>23</v>
      </c>
      <c r="K30" s="56" t="s">
        <v>24</v>
      </c>
      <c r="L30" s="24" t="s">
        <v>43</v>
      </c>
      <c r="M30" s="25" t="s">
        <v>99</v>
      </c>
      <c r="N30" s="25"/>
      <c r="O30" s="24"/>
    </row>
    <row r="31" spans="1:24" ht="24.75" customHeight="1">
      <c r="A31" s="21">
        <v>25</v>
      </c>
      <c r="B31" s="25" t="s">
        <v>100</v>
      </c>
      <c r="C31" s="24" t="str">
        <f>VLOOKUP(B31,[1]Sheet1!$C$7:$D$41,2,0)</f>
        <v>12/08/1992</v>
      </c>
      <c r="D31" s="23" t="s">
        <v>20</v>
      </c>
      <c r="E31" s="23" t="s">
        <v>21</v>
      </c>
      <c r="F31" s="52">
        <f t="shared" ca="1" si="0"/>
        <v>34.154020650813514</v>
      </c>
      <c r="G31" s="24" t="str">
        <f>VLOOKUP(B31,[1]Sheet1!$C$7:$H$41,6,0)</f>
        <v>0399835092</v>
      </c>
      <c r="H31" s="56">
        <v>2025</v>
      </c>
      <c r="I31" s="56"/>
      <c r="J31" s="56"/>
      <c r="K31" s="24" t="s">
        <v>37</v>
      </c>
      <c r="L31" s="24" t="s">
        <v>43</v>
      </c>
      <c r="M31" s="25" t="s">
        <v>101</v>
      </c>
      <c r="N31" s="25" t="s">
        <v>102</v>
      </c>
      <c r="O31" s="24"/>
    </row>
    <row r="32" spans="1:24" ht="24.75" customHeight="1">
      <c r="A32" s="21">
        <v>26</v>
      </c>
      <c r="B32" s="25" t="s">
        <v>103</v>
      </c>
      <c r="C32" s="24" t="str">
        <f>VLOOKUP(B32,[1]Sheet1!$C$7:$D$41,2,0)</f>
        <v>06/10/1992</v>
      </c>
      <c r="D32" s="23" t="s">
        <v>20</v>
      </c>
      <c r="E32" s="23" t="s">
        <v>21</v>
      </c>
      <c r="F32" s="52">
        <f t="shared" ca="1" si="0"/>
        <v>34.003441802252816</v>
      </c>
      <c r="G32" s="24" t="str">
        <f>VLOOKUP(B32,[1]Sheet1!$C$7:$H$41,6,0)</f>
        <v>0392921841</v>
      </c>
      <c r="H32" s="56">
        <v>2025</v>
      </c>
      <c r="I32" s="56"/>
      <c r="J32" s="56"/>
      <c r="K32" s="24" t="s">
        <v>37</v>
      </c>
      <c r="L32" s="24" t="s">
        <v>43</v>
      </c>
      <c r="M32" s="25" t="s">
        <v>104</v>
      </c>
      <c r="N32" s="25"/>
      <c r="O32" s="24"/>
    </row>
    <row r="33" spans="1:24" ht="24.75" customHeight="1">
      <c r="A33" s="21">
        <v>27</v>
      </c>
      <c r="B33" s="22" t="s">
        <v>105</v>
      </c>
      <c r="C33" s="24" t="str">
        <f>VLOOKUP(B33,[1]Sheet1!$C$7:$D$41,2,0)</f>
        <v>20/03/1972</v>
      </c>
      <c r="D33" s="23" t="s">
        <v>20</v>
      </c>
      <c r="E33" s="23" t="s">
        <v>21</v>
      </c>
      <c r="F33" s="52">
        <f t="shared" ca="1" si="0"/>
        <v>54.55099805863906</v>
      </c>
      <c r="G33" s="24" t="str">
        <f>VLOOKUP(B33,[1]Sheet1!$C$7:$H$41,6,0)</f>
        <v>0974010508</v>
      </c>
      <c r="H33" s="56">
        <v>1992</v>
      </c>
      <c r="I33" s="56">
        <v>1</v>
      </c>
      <c r="J33" s="56"/>
      <c r="K33" s="24" t="s">
        <v>37</v>
      </c>
      <c r="L33" s="24" t="s">
        <v>43</v>
      </c>
      <c r="M33" s="25" t="s">
        <v>106</v>
      </c>
      <c r="N33" s="25"/>
      <c r="O33" s="24"/>
    </row>
    <row r="34" spans="1:24" ht="24.75" customHeight="1">
      <c r="A34" s="21">
        <v>28</v>
      </c>
      <c r="B34" s="22" t="s">
        <v>107</v>
      </c>
      <c r="C34" s="24" t="str">
        <f>VLOOKUP(B34,[1]Sheet1!$C$7:$D$41,2,0)</f>
        <v>03/10/1995</v>
      </c>
      <c r="D34" s="23" t="s">
        <v>20</v>
      </c>
      <c r="E34" s="23" t="s">
        <v>21</v>
      </c>
      <c r="F34" s="52">
        <f t="shared" ca="1" si="0"/>
        <v>31.014373716632445</v>
      </c>
      <c r="G34" s="24" t="str">
        <f>VLOOKUP(B34,[1]Sheet1!$C$7:$H$41,6,0)</f>
        <v>0964620359</v>
      </c>
      <c r="H34" s="56">
        <v>2020</v>
      </c>
      <c r="I34" s="56"/>
      <c r="J34" s="56"/>
      <c r="K34" s="24" t="s">
        <v>37</v>
      </c>
      <c r="L34" s="24" t="s">
        <v>43</v>
      </c>
      <c r="M34" s="25" t="s">
        <v>108</v>
      </c>
      <c r="N34" s="25"/>
      <c r="O34" s="24"/>
    </row>
    <row r="35" spans="1:24" ht="24.75" customHeight="1">
      <c r="A35" s="21">
        <v>29</v>
      </c>
      <c r="B35" s="60" t="s">
        <v>109</v>
      </c>
      <c r="C35" s="23">
        <v>33807</v>
      </c>
      <c r="D35" s="23" t="s">
        <v>20</v>
      </c>
      <c r="E35" s="23" t="s">
        <v>21</v>
      </c>
      <c r="F35" s="52">
        <f t="shared" ca="1" si="0"/>
        <v>34.211514392991241</v>
      </c>
      <c r="G35" s="96" t="s">
        <v>110</v>
      </c>
      <c r="H35" s="24">
        <v>2014</v>
      </c>
      <c r="I35" s="24"/>
      <c r="J35" s="24"/>
      <c r="K35" s="24" t="s">
        <v>37</v>
      </c>
      <c r="L35" s="24" t="s">
        <v>43</v>
      </c>
      <c r="M35" s="25" t="s">
        <v>111</v>
      </c>
      <c r="N35" s="25"/>
      <c r="O35" s="24"/>
    </row>
    <row r="36" spans="1:24" ht="24.75" customHeight="1">
      <c r="A36" s="21">
        <v>30</v>
      </c>
      <c r="B36" s="32" t="s">
        <v>112</v>
      </c>
      <c r="C36" s="94" t="s">
        <v>113</v>
      </c>
      <c r="D36" s="23" t="s">
        <v>20</v>
      </c>
      <c r="E36" s="23" t="s">
        <v>21</v>
      </c>
      <c r="F36" s="52">
        <f t="shared" ca="1" si="0"/>
        <v>29.290864287669983</v>
      </c>
      <c r="G36" s="96" t="s">
        <v>114</v>
      </c>
      <c r="H36" s="24">
        <v>2020</v>
      </c>
      <c r="I36" s="24">
        <v>1</v>
      </c>
      <c r="J36" s="24"/>
      <c r="K36" s="24" t="s">
        <v>37</v>
      </c>
      <c r="L36" s="24" t="s">
        <v>43</v>
      </c>
      <c r="M36" s="25" t="s">
        <v>115</v>
      </c>
      <c r="N36" s="25"/>
      <c r="O36" s="24"/>
    </row>
    <row r="37" spans="1:24" ht="24.75" customHeight="1">
      <c r="A37" s="21">
        <v>31</v>
      </c>
      <c r="B37" s="32" t="s">
        <v>116</v>
      </c>
      <c r="C37" s="23">
        <v>35990</v>
      </c>
      <c r="D37" s="23" t="s">
        <v>20</v>
      </c>
      <c r="E37" s="23" t="s">
        <v>21</v>
      </c>
      <c r="F37" s="52">
        <f t="shared" ca="1" si="0"/>
        <v>28.23612160120846</v>
      </c>
      <c r="G37" s="96" t="s">
        <v>117</v>
      </c>
      <c r="H37" s="24">
        <v>2021</v>
      </c>
      <c r="I37" s="24">
        <v>1</v>
      </c>
      <c r="J37" s="24"/>
      <c r="K37" s="21" t="s">
        <v>24</v>
      </c>
      <c r="L37" s="24" t="s">
        <v>43</v>
      </c>
      <c r="M37" s="25" t="s">
        <v>118</v>
      </c>
      <c r="N37" s="25"/>
      <c r="O37" s="24"/>
      <c r="Q37" s="36"/>
      <c r="R37" s="61"/>
      <c r="S37" s="61"/>
      <c r="T37" s="36"/>
      <c r="U37" s="62"/>
      <c r="V37" s="62"/>
      <c r="W37" s="63"/>
    </row>
    <row r="38" spans="1:24" ht="29.45" customHeight="1">
      <c r="A38" s="21">
        <v>32</v>
      </c>
      <c r="B38" s="32" t="s">
        <v>119</v>
      </c>
      <c r="C38" s="23">
        <v>26104</v>
      </c>
      <c r="D38" s="23" t="s">
        <v>20</v>
      </c>
      <c r="E38" s="23" t="s">
        <v>21</v>
      </c>
      <c r="F38" s="52">
        <f t="shared" ca="1" si="0"/>
        <v>55.301848049281311</v>
      </c>
      <c r="G38" s="96" t="s">
        <v>120</v>
      </c>
      <c r="H38" s="56">
        <v>1996</v>
      </c>
      <c r="I38" s="56">
        <v>1</v>
      </c>
      <c r="J38" s="56"/>
      <c r="K38" s="24" t="s">
        <v>37</v>
      </c>
      <c r="L38" s="24" t="s">
        <v>43</v>
      </c>
      <c r="M38" s="25" t="s">
        <v>121</v>
      </c>
      <c r="N38" s="25"/>
      <c r="O38" s="24"/>
      <c r="W38" s="63"/>
    </row>
    <row r="39" spans="1:24" ht="24.75" customHeight="1">
      <c r="A39" s="21">
        <v>33</v>
      </c>
      <c r="B39" s="32" t="s">
        <v>122</v>
      </c>
      <c r="C39" s="94" t="s">
        <v>123</v>
      </c>
      <c r="D39" s="23" t="s">
        <v>20</v>
      </c>
      <c r="E39" s="23" t="s">
        <v>21</v>
      </c>
      <c r="F39" s="52">
        <f t="shared" ca="1" si="0"/>
        <v>37.041717703004537</v>
      </c>
      <c r="G39" s="96" t="s">
        <v>124</v>
      </c>
      <c r="H39" s="24">
        <v>2016</v>
      </c>
      <c r="I39" s="24">
        <v>1</v>
      </c>
      <c r="J39" s="24"/>
      <c r="K39" s="24" t="s">
        <v>37</v>
      </c>
      <c r="L39" s="24" t="s">
        <v>43</v>
      </c>
      <c r="M39" s="25" t="s">
        <v>125</v>
      </c>
      <c r="N39" s="25"/>
      <c r="O39" s="24"/>
      <c r="X39" s="62"/>
    </row>
    <row r="40" spans="1:24" ht="24.95" customHeight="1">
      <c r="A40" s="21">
        <v>34</v>
      </c>
      <c r="B40" s="32" t="s">
        <v>126</v>
      </c>
      <c r="C40" s="23">
        <v>25969</v>
      </c>
      <c r="D40" s="23" t="s">
        <v>20</v>
      </c>
      <c r="E40" s="23" t="s">
        <v>21</v>
      </c>
      <c r="F40" s="52">
        <f t="shared" ca="1" si="0"/>
        <v>55.671457905544145</v>
      </c>
      <c r="G40" s="96" t="s">
        <v>127</v>
      </c>
      <c r="H40" s="24">
        <v>1995</v>
      </c>
      <c r="I40" s="24">
        <v>1</v>
      </c>
      <c r="J40" s="24"/>
      <c r="K40" s="24" t="s">
        <v>37</v>
      </c>
      <c r="L40" s="24" t="s">
        <v>43</v>
      </c>
      <c r="M40" s="25" t="s">
        <v>128</v>
      </c>
      <c r="N40" s="25"/>
      <c r="O40" s="24"/>
      <c r="Q40" s="63"/>
    </row>
    <row r="41" spans="1:24" ht="56.25" customHeight="1">
      <c r="A41" s="21">
        <v>35</v>
      </c>
      <c r="B41" s="32" t="s">
        <v>129</v>
      </c>
      <c r="C41" s="23">
        <v>30965</v>
      </c>
      <c r="D41" s="23" t="s">
        <v>20</v>
      </c>
      <c r="E41" s="23" t="s">
        <v>21</v>
      </c>
      <c r="F41" s="52">
        <f t="shared" ca="1" si="0"/>
        <v>41.992486947663316</v>
      </c>
      <c r="G41" s="96" t="s">
        <v>130</v>
      </c>
      <c r="H41" s="24">
        <v>2007</v>
      </c>
      <c r="I41" s="24">
        <v>1</v>
      </c>
      <c r="J41" s="24" t="s">
        <v>23</v>
      </c>
      <c r="K41" s="24" t="s">
        <v>37</v>
      </c>
      <c r="L41" s="24" t="s">
        <v>131</v>
      </c>
      <c r="M41" s="25" t="s">
        <v>132</v>
      </c>
      <c r="N41" s="25" t="s">
        <v>133</v>
      </c>
      <c r="O41" s="24"/>
    </row>
    <row r="42" spans="1:24" ht="45.75" customHeight="1">
      <c r="A42" s="21">
        <v>36</v>
      </c>
      <c r="B42" s="32" t="s">
        <v>134</v>
      </c>
      <c r="C42" s="23">
        <v>31243</v>
      </c>
      <c r="D42" s="23" t="s">
        <v>20</v>
      </c>
      <c r="E42" s="23" t="s">
        <v>21</v>
      </c>
      <c r="F42" s="52">
        <f t="shared" ca="1" si="0"/>
        <v>41.233376792698827</v>
      </c>
      <c r="G42" s="96" t="s">
        <v>135</v>
      </c>
      <c r="H42" s="24">
        <v>2008</v>
      </c>
      <c r="I42" s="24">
        <v>1</v>
      </c>
      <c r="J42" s="24"/>
      <c r="K42" s="24" t="s">
        <v>37</v>
      </c>
      <c r="L42" s="24" t="s">
        <v>43</v>
      </c>
      <c r="M42" s="25" t="s">
        <v>136</v>
      </c>
      <c r="N42" s="25"/>
      <c r="O42" s="24"/>
    </row>
    <row r="43" spans="1:24" ht="68.25" customHeight="1">
      <c r="A43" s="21">
        <v>37</v>
      </c>
      <c r="B43" s="32" t="s">
        <v>137</v>
      </c>
      <c r="C43" s="23">
        <v>31595</v>
      </c>
      <c r="D43" s="23" t="s">
        <v>20</v>
      </c>
      <c r="E43" s="23" t="s">
        <v>21</v>
      </c>
      <c r="F43" s="52">
        <f t="shared" ca="1" si="0"/>
        <v>40.268981636060097</v>
      </c>
      <c r="G43" s="94" t="s">
        <v>138</v>
      </c>
      <c r="H43" s="24">
        <v>2011</v>
      </c>
      <c r="I43" s="24">
        <v>1</v>
      </c>
      <c r="J43" s="24" t="s">
        <v>23</v>
      </c>
      <c r="K43" s="24" t="s">
        <v>37</v>
      </c>
      <c r="L43" s="24" t="s">
        <v>139</v>
      </c>
      <c r="M43" s="25" t="s">
        <v>140</v>
      </c>
      <c r="N43" s="25"/>
      <c r="O43" s="24"/>
    </row>
    <row r="44" spans="1:24" ht="27.95" customHeight="1">
      <c r="A44" s="21">
        <v>38</v>
      </c>
      <c r="B44" s="22" t="s">
        <v>141</v>
      </c>
      <c r="C44" s="24" t="str">
        <f>VLOOKUP(B44,[1]Sheet1!$C$7:$D$41,2,0)</f>
        <v>16/02/1999</v>
      </c>
      <c r="D44" s="23" t="s">
        <v>20</v>
      </c>
      <c r="E44" s="23" t="s">
        <v>21</v>
      </c>
      <c r="F44" s="52">
        <f t="shared" ca="1" si="0"/>
        <v>27.641341546885695</v>
      </c>
      <c r="G44" s="24" t="str">
        <f>VLOOKUP(B44,[1]Sheet1!$C$7:$H$41,6,0)</f>
        <v>0973229929</v>
      </c>
      <c r="H44" s="24">
        <v>2025</v>
      </c>
      <c r="I44" s="24">
        <v>1</v>
      </c>
      <c r="J44" s="24"/>
      <c r="K44" s="24" t="s">
        <v>37</v>
      </c>
      <c r="L44" s="24" t="s">
        <v>43</v>
      </c>
      <c r="M44" s="25" t="s">
        <v>142</v>
      </c>
      <c r="N44" s="25"/>
      <c r="O44" s="24"/>
    </row>
    <row r="45" spans="1:24" ht="27.95" customHeight="1">
      <c r="A45" s="21">
        <v>39</v>
      </c>
      <c r="B45" s="22" t="s">
        <v>143</v>
      </c>
      <c r="C45" s="24" t="str">
        <f>VLOOKUP(B45,[1]Sheet1!$C$7:$D$41,2,0)</f>
        <v>17/06/1996</v>
      </c>
      <c r="D45" s="23" t="s">
        <v>20</v>
      </c>
      <c r="E45" s="23" t="s">
        <v>21</v>
      </c>
      <c r="F45" s="52">
        <f t="shared" ca="1" si="0"/>
        <v>30.307339044422857</v>
      </c>
      <c r="G45" s="24" t="str">
        <f>VLOOKUP(B45,[1]Sheet1!$C$7:$H$41,6,0)</f>
        <v>0976791554</v>
      </c>
      <c r="H45" s="24">
        <v>2025</v>
      </c>
      <c r="I45" s="24"/>
      <c r="J45" s="24"/>
      <c r="K45" s="24" t="s">
        <v>37</v>
      </c>
      <c r="L45" s="24" t="s">
        <v>43</v>
      </c>
      <c r="M45" s="25" t="s">
        <v>144</v>
      </c>
      <c r="N45" s="25"/>
      <c r="O45" s="24"/>
    </row>
    <row r="46" spans="1:24" ht="64.5" customHeight="1">
      <c r="A46" s="21">
        <v>40</v>
      </c>
      <c r="B46" s="22" t="s">
        <v>145</v>
      </c>
      <c r="C46" s="24" t="str">
        <f>VLOOKUP(B46,[1]Sheet1!$C$7:$D$41,2,0)</f>
        <v>02/01/1975</v>
      </c>
      <c r="D46" s="23" t="s">
        <v>20</v>
      </c>
      <c r="E46" s="23" t="s">
        <v>21</v>
      </c>
      <c r="F46" s="52">
        <f t="shared" ca="1" si="0"/>
        <v>51.76454483230664</v>
      </c>
      <c r="G46" s="24" t="str">
        <f>VLOOKUP(B46,[1]Sheet1!$C$7:$H$41,6,0)</f>
        <v>0948538696</v>
      </c>
      <c r="H46" s="24">
        <v>1996</v>
      </c>
      <c r="I46" s="24">
        <v>1</v>
      </c>
      <c r="J46" s="24"/>
      <c r="K46" s="24" t="s">
        <v>37</v>
      </c>
      <c r="L46" s="24" t="s">
        <v>146</v>
      </c>
      <c r="M46" s="25" t="s">
        <v>147</v>
      </c>
      <c r="N46" s="25" t="s">
        <v>148</v>
      </c>
      <c r="O46" s="24"/>
    </row>
    <row r="47" spans="1:24" ht="24.75" customHeight="1">
      <c r="A47" s="21">
        <v>41</v>
      </c>
      <c r="B47" s="32" t="s">
        <v>149</v>
      </c>
      <c r="C47" s="23">
        <v>32620</v>
      </c>
      <c r="D47" s="23" t="s">
        <v>20</v>
      </c>
      <c r="E47" s="23" t="s">
        <v>21</v>
      </c>
      <c r="F47" s="52">
        <f t="shared" ca="1" si="0"/>
        <v>37.46336191368254</v>
      </c>
      <c r="G47" s="96" t="s">
        <v>150</v>
      </c>
      <c r="H47" s="24">
        <v>2020</v>
      </c>
      <c r="I47" s="24"/>
      <c r="J47" s="24"/>
      <c r="K47" s="24" t="s">
        <v>37</v>
      </c>
      <c r="L47" s="24" t="s">
        <v>43</v>
      </c>
      <c r="M47" s="25" t="s">
        <v>151</v>
      </c>
      <c r="N47" s="25"/>
      <c r="O47" s="24"/>
    </row>
    <row r="48" spans="1:24" ht="24.75" customHeight="1">
      <c r="A48" s="21">
        <v>42</v>
      </c>
      <c r="B48" s="32" t="s">
        <v>152</v>
      </c>
      <c r="C48" s="23">
        <v>25877</v>
      </c>
      <c r="D48" s="23" t="s">
        <v>20</v>
      </c>
      <c r="E48" s="23" t="s">
        <v>21</v>
      </c>
      <c r="F48" s="52">
        <f t="shared" ca="1" si="0"/>
        <v>55.924011720063405</v>
      </c>
      <c r="G48" s="96" t="s">
        <v>153</v>
      </c>
      <c r="H48" s="24">
        <v>1991</v>
      </c>
      <c r="I48" s="24">
        <v>1</v>
      </c>
      <c r="J48" s="24"/>
      <c r="K48" s="24" t="s">
        <v>37</v>
      </c>
      <c r="L48" s="24" t="s">
        <v>43</v>
      </c>
      <c r="M48" s="25" t="s">
        <v>154</v>
      </c>
      <c r="N48" s="25"/>
      <c r="O48" s="24"/>
    </row>
    <row r="49" spans="1:15" ht="24.75" customHeight="1">
      <c r="A49" s="21">
        <v>43</v>
      </c>
      <c r="B49" s="32" t="s">
        <v>155</v>
      </c>
      <c r="C49" s="94" t="s">
        <v>156</v>
      </c>
      <c r="D49" s="23" t="s">
        <v>20</v>
      </c>
      <c r="E49" s="23" t="s">
        <v>21</v>
      </c>
      <c r="F49" s="52">
        <f t="shared" ca="1" si="0"/>
        <v>30.78986995208761</v>
      </c>
      <c r="G49" s="96" t="s">
        <v>157</v>
      </c>
      <c r="H49" s="53">
        <v>2020</v>
      </c>
      <c r="I49" s="53">
        <v>1</v>
      </c>
      <c r="J49" s="53"/>
      <c r="K49" s="21" t="s">
        <v>24</v>
      </c>
      <c r="L49" s="24" t="s">
        <v>43</v>
      </c>
      <c r="M49" s="25" t="s">
        <v>158</v>
      </c>
      <c r="N49" s="25"/>
      <c r="O49" s="24"/>
    </row>
    <row r="50" spans="1:15" ht="24.75" customHeight="1">
      <c r="A50" s="21">
        <v>44</v>
      </c>
      <c r="B50" s="32" t="s">
        <v>159</v>
      </c>
      <c r="C50" s="94" t="s">
        <v>160</v>
      </c>
      <c r="D50" s="23" t="s">
        <v>20</v>
      </c>
      <c r="E50" s="23" t="s">
        <v>21</v>
      </c>
      <c r="F50" s="52">
        <f t="shared" ca="1" si="0"/>
        <v>31.017111567419576</v>
      </c>
      <c r="G50" s="96" t="s">
        <v>161</v>
      </c>
      <c r="H50" s="56">
        <v>2018</v>
      </c>
      <c r="I50" s="56">
        <v>1</v>
      </c>
      <c r="J50" s="56"/>
      <c r="K50" s="21" t="s">
        <v>24</v>
      </c>
      <c r="L50" s="24" t="s">
        <v>43</v>
      </c>
      <c r="M50" s="25" t="s">
        <v>162</v>
      </c>
      <c r="N50" s="25"/>
      <c r="O50" s="24"/>
    </row>
    <row r="51" spans="1:15" ht="24.75" customHeight="1">
      <c r="A51" s="21">
        <v>45</v>
      </c>
      <c r="B51" s="32" t="s">
        <v>163</v>
      </c>
      <c r="C51" s="23">
        <v>36218</v>
      </c>
      <c r="D51" s="23" t="s">
        <v>20</v>
      </c>
      <c r="E51" s="23" t="s">
        <v>21</v>
      </c>
      <c r="F51" s="52">
        <f t="shared" ca="1" si="0"/>
        <v>27.611225188227241</v>
      </c>
      <c r="G51" s="96" t="s">
        <v>164</v>
      </c>
      <c r="H51" s="24">
        <v>2023</v>
      </c>
      <c r="I51" s="24">
        <v>1</v>
      </c>
      <c r="J51" s="24"/>
      <c r="K51" s="24" t="s">
        <v>37</v>
      </c>
      <c r="L51" s="24" t="s">
        <v>43</v>
      </c>
      <c r="M51" s="25" t="s">
        <v>165</v>
      </c>
      <c r="N51" s="25"/>
      <c r="O51" s="28"/>
    </row>
    <row r="52" spans="1:15" ht="24.75" customHeight="1">
      <c r="A52" s="21">
        <v>46</v>
      </c>
      <c r="B52" s="32" t="s">
        <v>166</v>
      </c>
      <c r="C52" s="23">
        <v>26258</v>
      </c>
      <c r="D52" s="23" t="s">
        <v>20</v>
      </c>
      <c r="E52" s="23" t="s">
        <v>21</v>
      </c>
      <c r="F52" s="52">
        <f t="shared" ca="1" si="0"/>
        <v>54.880219028062967</v>
      </c>
      <c r="G52" s="96" t="s">
        <v>167</v>
      </c>
      <c r="H52" s="24">
        <v>1992</v>
      </c>
      <c r="I52" s="24">
        <v>1</v>
      </c>
      <c r="J52" s="24"/>
      <c r="K52" s="24" t="s">
        <v>37</v>
      </c>
      <c r="L52" s="24" t="s">
        <v>43</v>
      </c>
      <c r="M52" s="25" t="s">
        <v>168</v>
      </c>
      <c r="N52" s="25"/>
      <c r="O52" s="28"/>
    </row>
    <row r="53" spans="1:15" ht="25.5" customHeight="1">
      <c r="A53" s="21">
        <v>47</v>
      </c>
      <c r="B53" s="32" t="s">
        <v>169</v>
      </c>
      <c r="C53" s="23">
        <v>27831</v>
      </c>
      <c r="D53" s="23" t="s">
        <v>20</v>
      </c>
      <c r="E53" s="23" t="s">
        <v>21</v>
      </c>
      <c r="F53" s="52">
        <f t="shared" ca="1" si="0"/>
        <v>50.572901009233412</v>
      </c>
      <c r="G53" s="96" t="s">
        <v>170</v>
      </c>
      <c r="H53" s="24">
        <v>1996</v>
      </c>
      <c r="I53" s="24">
        <v>1</v>
      </c>
      <c r="J53" s="24"/>
      <c r="K53" s="24" t="s">
        <v>37</v>
      </c>
      <c r="L53" s="24" t="s">
        <v>43</v>
      </c>
      <c r="M53" s="25" t="s">
        <v>171</v>
      </c>
      <c r="N53" s="25"/>
      <c r="O53" s="28"/>
    </row>
    <row r="54" spans="1:15" ht="61.5" customHeight="1">
      <c r="A54" s="21">
        <v>48</v>
      </c>
      <c r="B54" s="32" t="s">
        <v>172</v>
      </c>
      <c r="C54" s="23">
        <v>26437</v>
      </c>
      <c r="D54" s="23" t="s">
        <v>20</v>
      </c>
      <c r="E54" s="23" t="s">
        <v>21</v>
      </c>
      <c r="F54" s="52">
        <f t="shared" ca="1" si="0"/>
        <v>54.389466872417742</v>
      </c>
      <c r="G54" s="96" t="s">
        <v>173</v>
      </c>
      <c r="H54" s="24">
        <v>1994</v>
      </c>
      <c r="I54" s="24">
        <v>1</v>
      </c>
      <c r="J54" s="24"/>
      <c r="K54" s="24" t="s">
        <v>37</v>
      </c>
      <c r="L54" s="24" t="s">
        <v>174</v>
      </c>
      <c r="M54" s="25" t="s">
        <v>175</v>
      </c>
      <c r="N54" s="25" t="s">
        <v>176</v>
      </c>
      <c r="O54" s="28"/>
    </row>
    <row r="55" spans="1:15" ht="33.6" customHeight="1">
      <c r="A55" s="21">
        <v>49</v>
      </c>
      <c r="B55" s="22" t="s">
        <v>177</v>
      </c>
      <c r="C55" s="24" t="str">
        <f>VLOOKUP(B55,[1]Sheet1!$C$7:$D$41,2,0)</f>
        <v>15/03/1999</v>
      </c>
      <c r="D55" s="23" t="s">
        <v>20</v>
      </c>
      <c r="E55" s="23" t="s">
        <v>21</v>
      </c>
      <c r="F55" s="52">
        <f t="shared" ca="1" si="0"/>
        <v>27.567419575633128</v>
      </c>
      <c r="G55" s="24" t="str">
        <f>VLOOKUP(B55,[1]Sheet1!$C$7:$H$41,6,0)</f>
        <v>0965927709</v>
      </c>
      <c r="H55" s="24">
        <v>2025</v>
      </c>
      <c r="I55" s="24"/>
      <c r="J55" s="24"/>
      <c r="K55" s="24" t="s">
        <v>37</v>
      </c>
      <c r="L55" s="24" t="s">
        <v>43</v>
      </c>
      <c r="M55" s="25" t="s">
        <v>178</v>
      </c>
      <c r="N55" s="25"/>
      <c r="O55" s="28"/>
    </row>
    <row r="56" spans="1:15" ht="33.6" customHeight="1">
      <c r="A56" s="21">
        <v>50</v>
      </c>
      <c r="B56" s="22" t="s">
        <v>179</v>
      </c>
      <c r="C56" s="24" t="s">
        <v>180</v>
      </c>
      <c r="D56" s="23" t="s">
        <v>20</v>
      </c>
      <c r="E56" s="23" t="s">
        <v>21</v>
      </c>
      <c r="F56" s="52">
        <f t="shared" ca="1" si="0"/>
        <v>28.970521128045998</v>
      </c>
      <c r="G56" s="64" t="s">
        <v>181</v>
      </c>
      <c r="H56" s="24">
        <v>2021</v>
      </c>
      <c r="I56" s="24"/>
      <c r="J56" s="24"/>
      <c r="K56" s="56" t="s">
        <v>24</v>
      </c>
      <c r="L56" s="24" t="s">
        <v>43</v>
      </c>
      <c r="M56" s="25" t="s">
        <v>182</v>
      </c>
      <c r="N56" s="25"/>
      <c r="O56" s="28"/>
    </row>
    <row r="57" spans="1:15" ht="33.6" customHeight="1">
      <c r="A57" s="21">
        <v>51</v>
      </c>
      <c r="B57" s="22" t="s">
        <v>183</v>
      </c>
      <c r="C57" s="24" t="str">
        <f>VLOOKUP(B57,[1]Sheet1!$C$7:$D$41,2,0)</f>
        <v>13/11/1997</v>
      </c>
      <c r="D57" s="23" t="s">
        <v>20</v>
      </c>
      <c r="E57" s="23" t="s">
        <v>21</v>
      </c>
      <c r="F57" s="52">
        <f t="shared" ca="1" si="0"/>
        <v>28.90207173496395</v>
      </c>
      <c r="G57" s="24" t="str">
        <f>VLOOKUP(B57,[1]Sheet1!$C$7:$H$41,6,0)</f>
        <v>0988586273</v>
      </c>
      <c r="H57" s="24">
        <v>2025</v>
      </c>
      <c r="I57" s="24"/>
      <c r="J57" s="24"/>
      <c r="K57" s="24" t="s">
        <v>37</v>
      </c>
      <c r="L57" s="24" t="s">
        <v>43</v>
      </c>
      <c r="M57" s="25" t="s">
        <v>184</v>
      </c>
      <c r="N57" s="25"/>
      <c r="O57" s="28"/>
    </row>
    <row r="58" spans="1:15" ht="33.6" customHeight="1">
      <c r="A58" s="21">
        <v>52</v>
      </c>
      <c r="B58" s="22" t="s">
        <v>185</v>
      </c>
      <c r="C58" s="24" t="s">
        <v>186</v>
      </c>
      <c r="D58" s="23" t="s">
        <v>20</v>
      </c>
      <c r="E58" s="23" t="s">
        <v>21</v>
      </c>
      <c r="F58" s="52">
        <f t="shared" ca="1" si="0"/>
        <v>54.334710538105433</v>
      </c>
      <c r="G58" s="64" t="s">
        <v>187</v>
      </c>
      <c r="H58" s="24">
        <v>1995</v>
      </c>
      <c r="I58" s="24">
        <v>1</v>
      </c>
      <c r="J58" s="24"/>
      <c r="K58" s="24" t="s">
        <v>37</v>
      </c>
      <c r="L58" s="24" t="s">
        <v>43</v>
      </c>
      <c r="M58" s="25" t="s">
        <v>188</v>
      </c>
      <c r="N58" s="25" t="s">
        <v>189</v>
      </c>
      <c r="O58" s="28"/>
    </row>
    <row r="59" spans="1:15" ht="33.6" customHeight="1">
      <c r="A59" s="21">
        <v>53</v>
      </c>
      <c r="B59" s="32" t="s">
        <v>190</v>
      </c>
      <c r="C59" s="94" t="s">
        <v>191</v>
      </c>
      <c r="D59" s="23" t="s">
        <v>20</v>
      </c>
      <c r="E59" s="23" t="s">
        <v>21</v>
      </c>
      <c r="F59" s="52">
        <f t="shared" ca="1" si="0"/>
        <v>52.178634156421111</v>
      </c>
      <c r="G59" s="96" t="s">
        <v>192</v>
      </c>
      <c r="H59" s="21">
        <v>1993</v>
      </c>
      <c r="I59" s="21">
        <v>1</v>
      </c>
      <c r="J59" s="21"/>
      <c r="K59" s="24" t="s">
        <v>37</v>
      </c>
      <c r="L59" s="24" t="s">
        <v>43</v>
      </c>
      <c r="M59" s="25" t="s">
        <v>193</v>
      </c>
      <c r="N59" s="25"/>
      <c r="O59" s="28"/>
    </row>
    <row r="60" spans="1:15" ht="63.75" customHeight="1">
      <c r="A60" s="21">
        <v>54</v>
      </c>
      <c r="B60" s="32" t="s">
        <v>194</v>
      </c>
      <c r="C60" s="23">
        <v>32785</v>
      </c>
      <c r="D60" s="23" t="s">
        <v>20</v>
      </c>
      <c r="E60" s="23" t="s">
        <v>21</v>
      </c>
      <c r="F60" s="52">
        <f t="shared" ca="1" si="0"/>
        <v>37.011600259384679</v>
      </c>
      <c r="G60" s="96" t="s">
        <v>195</v>
      </c>
      <c r="H60" s="24">
        <v>2012</v>
      </c>
      <c r="I60" s="24">
        <v>1</v>
      </c>
      <c r="J60" s="24"/>
      <c r="K60" s="24" t="s">
        <v>37</v>
      </c>
      <c r="L60" s="24" t="s">
        <v>196</v>
      </c>
      <c r="M60" s="25" t="s">
        <v>197</v>
      </c>
      <c r="N60" s="25" t="s">
        <v>198</v>
      </c>
      <c r="O60" s="28"/>
    </row>
    <row r="61" spans="1:15" ht="35.25" customHeight="1">
      <c r="A61" s="21">
        <v>55</v>
      </c>
      <c r="B61" s="32" t="s">
        <v>199</v>
      </c>
      <c r="C61" s="23">
        <v>27158</v>
      </c>
      <c r="D61" s="23" t="s">
        <v>20</v>
      </c>
      <c r="E61" s="23" t="s">
        <v>21</v>
      </c>
      <c r="F61" s="52">
        <f t="shared" ca="1" si="0"/>
        <v>52.41683025105899</v>
      </c>
      <c r="G61" s="96" t="s">
        <v>200</v>
      </c>
      <c r="H61" s="24">
        <v>1993</v>
      </c>
      <c r="I61" s="24">
        <v>1</v>
      </c>
      <c r="J61" s="24"/>
      <c r="K61" s="24" t="s">
        <v>37</v>
      </c>
      <c r="L61" s="24" t="s">
        <v>43</v>
      </c>
      <c r="M61" s="25" t="s">
        <v>201</v>
      </c>
      <c r="N61" s="25" t="s">
        <v>202</v>
      </c>
      <c r="O61" s="28"/>
    </row>
    <row r="62" spans="1:15" ht="32.25" customHeight="1">
      <c r="A62" s="21">
        <v>56</v>
      </c>
      <c r="B62" s="32" t="s">
        <v>203</v>
      </c>
      <c r="C62" s="23">
        <v>27030</v>
      </c>
      <c r="D62" s="23" t="s">
        <v>20</v>
      </c>
      <c r="E62" s="23" t="s">
        <v>21</v>
      </c>
      <c r="F62" s="52">
        <f t="shared" ca="1" si="0"/>
        <v>52.767279677652645</v>
      </c>
      <c r="G62" s="96" t="s">
        <v>204</v>
      </c>
      <c r="H62" s="24">
        <v>1998</v>
      </c>
      <c r="I62" s="24"/>
      <c r="J62" s="24"/>
      <c r="K62" s="24" t="s">
        <v>37</v>
      </c>
      <c r="L62" s="24" t="s">
        <v>43</v>
      </c>
      <c r="M62" s="25" t="s">
        <v>205</v>
      </c>
      <c r="N62" s="25"/>
      <c r="O62" s="28"/>
    </row>
    <row r="63" spans="1:15" s="44" customFormat="1" ht="45" customHeight="1">
      <c r="A63" s="21">
        <v>57</v>
      </c>
      <c r="B63" s="32" t="s">
        <v>206</v>
      </c>
      <c r="C63" s="23">
        <v>28012</v>
      </c>
      <c r="D63" s="23" t="s">
        <v>20</v>
      </c>
      <c r="E63" s="23" t="s">
        <v>21</v>
      </c>
      <c r="F63" s="52">
        <f t="shared" ca="1" si="0"/>
        <v>50.077356667382439</v>
      </c>
      <c r="G63" s="96" t="s">
        <v>207</v>
      </c>
      <c r="H63" s="24">
        <v>1997</v>
      </c>
      <c r="I63" s="24">
        <v>1</v>
      </c>
      <c r="J63" s="24"/>
      <c r="K63" s="24" t="s">
        <v>37</v>
      </c>
      <c r="L63" s="24" t="s">
        <v>43</v>
      </c>
      <c r="M63" s="25" t="s">
        <v>208</v>
      </c>
      <c r="N63" s="25"/>
      <c r="O63" s="21"/>
    </row>
    <row r="64" spans="1:15" ht="47.45" customHeight="1">
      <c r="A64" s="21">
        <v>58</v>
      </c>
      <c r="B64" s="32" t="s">
        <v>209</v>
      </c>
      <c r="C64" s="23">
        <v>26988</v>
      </c>
      <c r="D64" s="23" t="s">
        <v>20</v>
      </c>
      <c r="E64" s="23" t="s">
        <v>21</v>
      </c>
      <c r="F64" s="52">
        <f t="shared" ca="1" si="0"/>
        <v>52.882928560563805</v>
      </c>
      <c r="G64" s="96" t="s">
        <v>210</v>
      </c>
      <c r="H64" s="24">
        <v>1994</v>
      </c>
      <c r="I64" s="24">
        <v>1</v>
      </c>
      <c r="J64" s="24"/>
      <c r="K64" s="24" t="s">
        <v>37</v>
      </c>
      <c r="L64" s="24" t="s">
        <v>43</v>
      </c>
      <c r="M64" s="25" t="s">
        <v>211</v>
      </c>
      <c r="N64" s="25"/>
      <c r="O64" s="28"/>
    </row>
    <row r="65" spans="1:16" ht="24.75" customHeight="1">
      <c r="A65" s="21">
        <v>59</v>
      </c>
      <c r="B65" s="32" t="s">
        <v>212</v>
      </c>
      <c r="C65" s="94" t="s">
        <v>213</v>
      </c>
      <c r="D65" s="23" t="s">
        <v>20</v>
      </c>
      <c r="E65" s="23" t="s">
        <v>21</v>
      </c>
      <c r="F65" s="52">
        <f t="shared" ca="1" si="0"/>
        <v>49.820002147305132</v>
      </c>
      <c r="G65" s="96" t="s">
        <v>214</v>
      </c>
      <c r="H65" s="24">
        <v>1996</v>
      </c>
      <c r="I65" s="24">
        <v>1</v>
      </c>
      <c r="J65" s="24" t="s">
        <v>23</v>
      </c>
      <c r="K65" s="24" t="s">
        <v>37</v>
      </c>
      <c r="L65" s="24" t="s">
        <v>43</v>
      </c>
      <c r="M65" s="25" t="s">
        <v>215</v>
      </c>
      <c r="N65" s="25"/>
      <c r="O65" s="28"/>
    </row>
    <row r="66" spans="1:16" ht="36" customHeight="1">
      <c r="A66" s="21">
        <v>60</v>
      </c>
      <c r="B66" s="22" t="s">
        <v>216</v>
      </c>
      <c r="C66" s="24" t="str">
        <f>VLOOKUP(B66,[1]Sheet1!$C$7:$D$41,2,0)</f>
        <v>22/03/1995</v>
      </c>
      <c r="D66" s="23" t="s">
        <v>20</v>
      </c>
      <c r="E66" s="23" t="s">
        <v>21</v>
      </c>
      <c r="F66" s="52">
        <f t="shared" ca="1" si="0"/>
        <v>31.548254620123203</v>
      </c>
      <c r="G66" s="24" t="str">
        <f>VLOOKUP(B66,[1]Sheet1!$C$7:$H$41,6,0)</f>
        <v>0399798541</v>
      </c>
      <c r="H66" s="24">
        <v>2020</v>
      </c>
      <c r="I66" s="24">
        <v>1</v>
      </c>
      <c r="J66" s="24"/>
      <c r="K66" s="24" t="s">
        <v>37</v>
      </c>
      <c r="L66" s="24" t="s">
        <v>217</v>
      </c>
      <c r="M66" s="25" t="s">
        <v>218</v>
      </c>
      <c r="N66" s="25"/>
      <c r="O66" s="28"/>
    </row>
    <row r="67" spans="1:16" ht="30.75" customHeight="1">
      <c r="A67" s="21">
        <v>61</v>
      </c>
      <c r="B67" s="22" t="s">
        <v>219</v>
      </c>
      <c r="C67" s="24" t="str">
        <f>VLOOKUP(B67,[1]Sheet1!$C$7:$D$41,2,0)</f>
        <v>11/06/1993</v>
      </c>
      <c r="D67" s="23" t="s">
        <v>20</v>
      </c>
      <c r="E67" s="23" t="s">
        <v>21</v>
      </c>
      <c r="F67" s="52">
        <f t="shared" ca="1" si="0"/>
        <v>33.326461588017395</v>
      </c>
      <c r="G67" s="24" t="str">
        <f>VLOOKUP(B67,[1]Sheet1!$C$7:$H$41,6,0)</f>
        <v>0977316173</v>
      </c>
      <c r="H67" s="24">
        <v>2014</v>
      </c>
      <c r="I67" s="24">
        <v>1</v>
      </c>
      <c r="J67" s="24"/>
      <c r="K67" s="24" t="s">
        <v>37</v>
      </c>
      <c r="L67" s="24" t="s">
        <v>43</v>
      </c>
      <c r="M67" s="25" t="s">
        <v>220</v>
      </c>
      <c r="N67" s="25" t="s">
        <v>221</v>
      </c>
      <c r="O67" s="28"/>
    </row>
    <row r="68" spans="1:16" ht="30.75" customHeight="1">
      <c r="A68" s="21">
        <v>62</v>
      </c>
      <c r="B68" s="22" t="s">
        <v>222</v>
      </c>
      <c r="C68" s="24" t="str">
        <f>VLOOKUP(B68,[1]Sheet1!$C$7:$D$41,2,0)</f>
        <v>09/10/2002</v>
      </c>
      <c r="D68" s="23" t="s">
        <v>20</v>
      </c>
      <c r="E68" s="23" t="s">
        <v>21</v>
      </c>
      <c r="F68" s="52">
        <f t="shared" ca="1" si="0"/>
        <v>23.997919176431935</v>
      </c>
      <c r="G68" s="24" t="str">
        <f>VLOOKUP(B68,[1]Sheet1!$C$7:$H$41,6,0)</f>
        <v>0394873358</v>
      </c>
      <c r="H68" s="24">
        <v>2025</v>
      </c>
      <c r="I68" s="24"/>
      <c r="J68" s="24"/>
      <c r="K68" s="24" t="s">
        <v>37</v>
      </c>
      <c r="L68" s="24" t="s">
        <v>43</v>
      </c>
      <c r="M68" s="25" t="s">
        <v>223</v>
      </c>
      <c r="N68" s="25"/>
      <c r="O68" s="28"/>
    </row>
    <row r="69" spans="1:16" ht="30.75" customHeight="1">
      <c r="A69" s="21">
        <v>63</v>
      </c>
      <c r="B69" s="22" t="s">
        <v>224</v>
      </c>
      <c r="C69" s="24" t="str">
        <f>VLOOKUP(B69,[1]Sheet1!$C$7:$D$41,2,0)</f>
        <v>06/08/1986</v>
      </c>
      <c r="D69" s="23" t="s">
        <v>20</v>
      </c>
      <c r="E69" s="23" t="s">
        <v>21</v>
      </c>
      <c r="F69" s="52">
        <f t="shared" ca="1" si="0"/>
        <v>40.173155258764609</v>
      </c>
      <c r="G69" s="24" t="str">
        <f>VLOOKUP(B69,[1]Sheet1!$C$7:$H$41,6,0)</f>
        <v>0988307119</v>
      </c>
      <c r="H69" s="24">
        <v>2023</v>
      </c>
      <c r="I69" s="24"/>
      <c r="J69" s="24"/>
      <c r="K69" s="56" t="s">
        <v>24</v>
      </c>
      <c r="L69" s="24" t="s">
        <v>43</v>
      </c>
      <c r="M69" s="25" t="s">
        <v>225</v>
      </c>
      <c r="N69" s="25"/>
      <c r="O69" s="28"/>
    </row>
    <row r="70" spans="1:16" ht="57.75" customHeight="1">
      <c r="A70" s="21">
        <v>64</v>
      </c>
      <c r="B70" s="32" t="s">
        <v>226</v>
      </c>
      <c r="C70" s="23">
        <v>27554</v>
      </c>
      <c r="D70" s="23" t="s">
        <v>20</v>
      </c>
      <c r="E70" s="23" t="s">
        <v>21</v>
      </c>
      <c r="F70" s="52">
        <f t="shared" ca="1" si="0"/>
        <v>51.331964407939765</v>
      </c>
      <c r="G70" s="96" t="s">
        <v>227</v>
      </c>
      <c r="H70" s="21">
        <v>2003</v>
      </c>
      <c r="I70" s="21">
        <v>1</v>
      </c>
      <c r="J70" s="21"/>
      <c r="K70" s="24" t="s">
        <v>37</v>
      </c>
      <c r="L70" s="24" t="s">
        <v>43</v>
      </c>
      <c r="M70" s="106" t="s">
        <v>425</v>
      </c>
      <c r="N70" s="35" t="s">
        <v>229</v>
      </c>
      <c r="O70" s="28"/>
    </row>
    <row r="71" spans="1:16" ht="57.75" customHeight="1">
      <c r="A71" s="21">
        <v>65</v>
      </c>
      <c r="B71" s="32" t="s">
        <v>230</v>
      </c>
      <c r="C71" s="23">
        <v>26873</v>
      </c>
      <c r="D71" s="23" t="s">
        <v>20</v>
      </c>
      <c r="E71" s="23" t="s">
        <v>21</v>
      </c>
      <c r="F71" s="52">
        <f t="shared" ca="1" si="0"/>
        <v>53.197789382953907</v>
      </c>
      <c r="G71" s="96" t="s">
        <v>231</v>
      </c>
      <c r="H71" s="21">
        <v>1994</v>
      </c>
      <c r="I71" s="21"/>
      <c r="J71" s="21"/>
      <c r="K71" s="24" t="s">
        <v>37</v>
      </c>
      <c r="L71" s="24" t="s">
        <v>43</v>
      </c>
      <c r="M71" s="106" t="s">
        <v>426</v>
      </c>
      <c r="N71" s="35"/>
      <c r="O71" s="28"/>
    </row>
    <row r="72" spans="1:16" ht="57.75" customHeight="1">
      <c r="A72" s="21">
        <v>66</v>
      </c>
      <c r="B72" s="32" t="s">
        <v>233</v>
      </c>
      <c r="C72" s="23">
        <v>36808</v>
      </c>
      <c r="D72" s="23" t="s">
        <v>20</v>
      </c>
      <c r="E72" s="23" t="s">
        <v>21</v>
      </c>
      <c r="F72" s="52">
        <f t="shared" ca="1" si="0"/>
        <v>25.995234232407221</v>
      </c>
      <c r="G72" s="96" t="s">
        <v>234</v>
      </c>
      <c r="H72" s="21">
        <v>2023</v>
      </c>
      <c r="I72" s="21">
        <v>1</v>
      </c>
      <c r="J72" s="21"/>
      <c r="K72" s="21" t="s">
        <v>24</v>
      </c>
      <c r="L72" s="24" t="s">
        <v>43</v>
      </c>
      <c r="M72" s="106" t="s">
        <v>427</v>
      </c>
      <c r="N72" s="35"/>
      <c r="O72" s="28"/>
    </row>
    <row r="73" spans="1:16" ht="20.25" customHeight="1">
      <c r="A73" s="21">
        <v>67</v>
      </c>
      <c r="B73" s="22" t="s">
        <v>235</v>
      </c>
      <c r="C73" s="24" t="s">
        <v>236</v>
      </c>
      <c r="D73" s="23" t="s">
        <v>20</v>
      </c>
      <c r="E73" s="23" t="s">
        <v>21</v>
      </c>
      <c r="F73" s="52">
        <f t="shared" ref="F73:F95" ca="1" si="1">YEARFRAC(C73,TODAY(),1)</f>
        <v>25.75358045492839</v>
      </c>
      <c r="G73" s="66" t="s">
        <v>237</v>
      </c>
      <c r="H73" s="21">
        <v>2025</v>
      </c>
      <c r="I73" s="21"/>
      <c r="J73" s="21"/>
      <c r="K73" s="24" t="s">
        <v>37</v>
      </c>
      <c r="L73" s="21" t="s">
        <v>43</v>
      </c>
      <c r="M73" s="65" t="s">
        <v>232</v>
      </c>
      <c r="N73" s="35"/>
      <c r="O73" s="28"/>
    </row>
    <row r="74" spans="1:16" ht="20.25" customHeight="1">
      <c r="A74" s="21">
        <v>68</v>
      </c>
      <c r="B74" s="22" t="s">
        <v>238</v>
      </c>
      <c r="C74" s="24" t="s">
        <v>239</v>
      </c>
      <c r="D74" s="23" t="s">
        <v>20</v>
      </c>
      <c r="E74" s="23" t="s">
        <v>21</v>
      </c>
      <c r="F74" s="52">
        <f t="shared" ca="1" si="1"/>
        <v>29.668704937482886</v>
      </c>
      <c r="G74" s="67" t="s">
        <v>240</v>
      </c>
      <c r="H74" s="21">
        <v>2025</v>
      </c>
      <c r="I74" s="21"/>
      <c r="J74" s="21"/>
      <c r="K74" s="24" t="s">
        <v>37</v>
      </c>
      <c r="L74" s="21" t="s">
        <v>43</v>
      </c>
      <c r="M74" s="42" t="s">
        <v>241</v>
      </c>
      <c r="N74" s="28"/>
      <c r="O74" s="28"/>
    </row>
    <row r="75" spans="1:16" ht="20.25" customHeight="1">
      <c r="A75" s="21">
        <v>69</v>
      </c>
      <c r="B75" s="22" t="s">
        <v>242</v>
      </c>
      <c r="C75" s="27">
        <v>37348</v>
      </c>
      <c r="D75" s="23" t="s">
        <v>20</v>
      </c>
      <c r="E75" s="23" t="s">
        <v>21</v>
      </c>
      <c r="F75" s="52">
        <f t="shared" ca="1" si="1"/>
        <v>24.518125068448143</v>
      </c>
      <c r="G75" s="98" t="s">
        <v>243</v>
      </c>
      <c r="H75" s="21">
        <v>2025</v>
      </c>
      <c r="I75" s="21"/>
      <c r="J75" s="21"/>
      <c r="K75" s="24" t="s">
        <v>37</v>
      </c>
      <c r="L75" s="21" t="s">
        <v>43</v>
      </c>
      <c r="M75" s="42" t="s">
        <v>244</v>
      </c>
      <c r="N75" s="28"/>
      <c r="O75" s="28"/>
    </row>
    <row r="76" spans="1:16" ht="30.75" customHeight="1">
      <c r="A76" s="21">
        <v>70</v>
      </c>
      <c r="B76" s="32" t="s">
        <v>245</v>
      </c>
      <c r="C76" s="23">
        <v>23991</v>
      </c>
      <c r="D76" s="23" t="s">
        <v>246</v>
      </c>
      <c r="E76" s="23" t="s">
        <v>21</v>
      </c>
      <c r="F76" s="52">
        <f t="shared" ca="1" si="1"/>
        <v>61.088275557518216</v>
      </c>
      <c r="G76" s="96" t="s">
        <v>247</v>
      </c>
      <c r="H76" s="24">
        <v>1990</v>
      </c>
      <c r="I76" s="24">
        <v>1</v>
      </c>
      <c r="J76" s="24"/>
      <c r="K76" s="24" t="s">
        <v>37</v>
      </c>
      <c r="L76" s="24" t="s">
        <v>248</v>
      </c>
      <c r="M76" s="25" t="s">
        <v>415</v>
      </c>
      <c r="N76" s="25" t="s">
        <v>249</v>
      </c>
      <c r="O76" s="28"/>
    </row>
    <row r="77" spans="1:16" ht="28.5" customHeight="1">
      <c r="A77" s="21">
        <v>71</v>
      </c>
      <c r="B77" s="32" t="s">
        <v>250</v>
      </c>
      <c r="C77" s="23">
        <v>31344</v>
      </c>
      <c r="D77" s="23" t="s">
        <v>20</v>
      </c>
      <c r="E77" s="23" t="s">
        <v>21</v>
      </c>
      <c r="F77" s="52">
        <f t="shared" ca="1" si="1"/>
        <v>40.956844850065188</v>
      </c>
      <c r="G77" s="96" t="s">
        <v>251</v>
      </c>
      <c r="H77" s="21">
        <v>2006</v>
      </c>
      <c r="I77" s="21">
        <v>1</v>
      </c>
      <c r="J77" s="21"/>
      <c r="K77" s="24" t="s">
        <v>37</v>
      </c>
      <c r="L77" s="24" t="s">
        <v>248</v>
      </c>
      <c r="M77" s="25" t="s">
        <v>414</v>
      </c>
      <c r="N77" s="25"/>
      <c r="O77" s="28"/>
    </row>
    <row r="78" spans="1:16" ht="76.5" customHeight="1">
      <c r="A78" s="21">
        <v>72</v>
      </c>
      <c r="B78" s="22" t="s">
        <v>252</v>
      </c>
      <c r="C78" s="24" t="s">
        <v>253</v>
      </c>
      <c r="D78" s="23" t="s">
        <v>20</v>
      </c>
      <c r="E78" s="23" t="s">
        <v>21</v>
      </c>
      <c r="F78" s="52">
        <f t="shared" ca="1" si="1"/>
        <v>50.356613699806744</v>
      </c>
      <c r="G78" s="67" t="s">
        <v>254</v>
      </c>
      <c r="H78" s="21">
        <v>2007</v>
      </c>
      <c r="I78" s="21"/>
      <c r="J78" s="21"/>
      <c r="K78" s="24" t="s">
        <v>37</v>
      </c>
      <c r="L78" s="24" t="s">
        <v>248</v>
      </c>
      <c r="M78" s="25" t="s">
        <v>413</v>
      </c>
      <c r="N78" s="28" t="s">
        <v>255</v>
      </c>
      <c r="O78" s="28"/>
    </row>
    <row r="79" spans="1:16" ht="47.25" customHeight="1">
      <c r="A79" s="21">
        <v>73</v>
      </c>
      <c r="B79" s="32" t="s">
        <v>256</v>
      </c>
      <c r="C79" s="23">
        <v>28380</v>
      </c>
      <c r="D79" s="23" t="s">
        <v>20</v>
      </c>
      <c r="E79" s="23" t="s">
        <v>21</v>
      </c>
      <c r="F79" s="52">
        <f t="shared" ca="1" si="1"/>
        <v>49.071843171613182</v>
      </c>
      <c r="G79" s="96" t="s">
        <v>257</v>
      </c>
      <c r="H79" s="21">
        <v>2009</v>
      </c>
      <c r="I79" s="21">
        <v>1</v>
      </c>
      <c r="J79" s="21"/>
      <c r="K79" s="24" t="s">
        <v>37</v>
      </c>
      <c r="L79" s="21" t="s">
        <v>258</v>
      </c>
      <c r="M79" s="25" t="s">
        <v>412</v>
      </c>
      <c r="N79" s="28"/>
      <c r="O79" s="28"/>
      <c r="P79" s="62"/>
    </row>
    <row r="80" spans="1:16" ht="43.5" customHeight="1">
      <c r="A80" s="21">
        <v>74</v>
      </c>
      <c r="B80" s="32" t="s">
        <v>259</v>
      </c>
      <c r="C80" s="23">
        <v>29773</v>
      </c>
      <c r="D80" s="23" t="s">
        <v>20</v>
      </c>
      <c r="E80" s="23" t="s">
        <v>21</v>
      </c>
      <c r="F80" s="52">
        <f t="shared" ca="1" si="1"/>
        <v>45.258020355931194</v>
      </c>
      <c r="G80" s="96" t="s">
        <v>260</v>
      </c>
      <c r="H80" s="21">
        <v>2003</v>
      </c>
      <c r="I80" s="21">
        <v>1</v>
      </c>
      <c r="J80" s="21"/>
      <c r="K80" s="24" t="s">
        <v>37</v>
      </c>
      <c r="L80" s="21" t="s">
        <v>258</v>
      </c>
      <c r="M80" s="25" t="s">
        <v>411</v>
      </c>
      <c r="N80" s="68"/>
      <c r="O80" s="68"/>
    </row>
    <row r="81" spans="1:15" ht="38.25" customHeight="1">
      <c r="A81" s="21">
        <v>75</v>
      </c>
      <c r="B81" s="32" t="s">
        <v>261</v>
      </c>
      <c r="C81" s="23">
        <v>32425</v>
      </c>
      <c r="D81" s="23" t="s">
        <v>20</v>
      </c>
      <c r="E81" s="23" t="s">
        <v>21</v>
      </c>
      <c r="F81" s="52">
        <f t="shared" ca="1" si="1"/>
        <v>37.995226395226396</v>
      </c>
      <c r="G81" s="96" t="s">
        <v>262</v>
      </c>
      <c r="H81" s="21">
        <v>2025</v>
      </c>
      <c r="I81" s="21"/>
      <c r="J81" s="21"/>
      <c r="K81" s="24" t="s">
        <v>37</v>
      </c>
      <c r="L81" s="21" t="s">
        <v>258</v>
      </c>
      <c r="M81" s="25" t="s">
        <v>410</v>
      </c>
      <c r="N81" s="69"/>
      <c r="O81" s="69"/>
    </row>
    <row r="82" spans="1:15" ht="38.25" customHeight="1">
      <c r="A82" s="21">
        <v>76</v>
      </c>
      <c r="B82" s="22" t="s">
        <v>226</v>
      </c>
      <c r="C82" s="24" t="s">
        <v>263</v>
      </c>
      <c r="D82" s="23" t="s">
        <v>20</v>
      </c>
      <c r="E82" s="23" t="s">
        <v>21</v>
      </c>
      <c r="F82" s="52">
        <f t="shared" ca="1" si="1"/>
        <v>45.899400011650258</v>
      </c>
      <c r="G82" s="70" t="s">
        <v>264</v>
      </c>
      <c r="H82" s="21">
        <v>2009</v>
      </c>
      <c r="I82" s="21"/>
      <c r="J82" s="21"/>
      <c r="K82" s="24" t="s">
        <v>37</v>
      </c>
      <c r="L82" s="21" t="s">
        <v>258</v>
      </c>
      <c r="M82" s="25" t="s">
        <v>409</v>
      </c>
      <c r="N82" s="28"/>
      <c r="O82" s="28"/>
    </row>
    <row r="83" spans="1:15" ht="20.25" customHeight="1">
      <c r="A83" s="21">
        <v>77</v>
      </c>
      <c r="B83" s="32" t="s">
        <v>271</v>
      </c>
      <c r="C83" s="23">
        <v>30626</v>
      </c>
      <c r="D83" s="23" t="s">
        <v>20</v>
      </c>
      <c r="E83" s="23" t="s">
        <v>21</v>
      </c>
      <c r="F83" s="52">
        <f t="shared" ca="1" si="1"/>
        <v>42.921286789869953</v>
      </c>
      <c r="G83" s="96" t="s">
        <v>272</v>
      </c>
      <c r="H83" s="21">
        <v>2010</v>
      </c>
      <c r="I83" s="21"/>
      <c r="J83" s="21"/>
      <c r="K83" s="24" t="s">
        <v>37</v>
      </c>
      <c r="L83" s="21" t="s">
        <v>273</v>
      </c>
      <c r="M83" s="42" t="s">
        <v>416</v>
      </c>
      <c r="N83" s="28"/>
      <c r="O83" s="28"/>
    </row>
    <row r="84" spans="1:15" ht="20.25" customHeight="1">
      <c r="A84" s="21">
        <v>78</v>
      </c>
      <c r="B84" s="32" t="s">
        <v>274</v>
      </c>
      <c r="C84" s="23">
        <v>32448</v>
      </c>
      <c r="D84" s="23" t="s">
        <v>246</v>
      </c>
      <c r="E84" s="23" t="s">
        <v>21</v>
      </c>
      <c r="F84" s="52">
        <f t="shared" ca="1" si="1"/>
        <v>37.932256932256934</v>
      </c>
      <c r="G84" s="96" t="s">
        <v>275</v>
      </c>
      <c r="H84" s="21">
        <v>2011</v>
      </c>
      <c r="I84" s="21">
        <v>1</v>
      </c>
      <c r="J84" s="24" t="s">
        <v>23</v>
      </c>
      <c r="K84" s="21" t="s">
        <v>24</v>
      </c>
      <c r="L84" s="21" t="s">
        <v>273</v>
      </c>
      <c r="M84" s="42" t="s">
        <v>417</v>
      </c>
      <c r="N84" s="28" t="s">
        <v>276</v>
      </c>
      <c r="O84" s="28"/>
    </row>
    <row r="85" spans="1:15" ht="20.25" customHeight="1">
      <c r="A85" s="21">
        <v>79</v>
      </c>
      <c r="B85" s="32" t="s">
        <v>288</v>
      </c>
      <c r="C85" s="94" t="s">
        <v>289</v>
      </c>
      <c r="D85" s="23" t="s">
        <v>20</v>
      </c>
      <c r="E85" s="23" t="s">
        <v>21</v>
      </c>
      <c r="F85" s="52">
        <f t="shared" ca="1" si="1"/>
        <v>38.014391014391009</v>
      </c>
      <c r="G85" s="96" t="s">
        <v>290</v>
      </c>
      <c r="H85" s="21">
        <v>2011</v>
      </c>
      <c r="I85" s="21"/>
      <c r="J85" s="21"/>
      <c r="K85" s="24" t="s">
        <v>37</v>
      </c>
      <c r="L85" s="21" t="s">
        <v>291</v>
      </c>
      <c r="M85" s="42" t="s">
        <v>419</v>
      </c>
      <c r="N85" s="28"/>
      <c r="O85" s="28"/>
    </row>
    <row r="86" spans="1:15" ht="20.25" customHeight="1">
      <c r="A86" s="21">
        <v>80</v>
      </c>
      <c r="B86" s="32" t="s">
        <v>292</v>
      </c>
      <c r="C86" s="23">
        <v>30411</v>
      </c>
      <c r="D86" s="23" t="s">
        <v>20</v>
      </c>
      <c r="E86" s="23" t="s">
        <v>21</v>
      </c>
      <c r="F86" s="52">
        <f t="shared" ca="1" si="1"/>
        <v>43.509924709103352</v>
      </c>
      <c r="G86" s="96" t="s">
        <v>293</v>
      </c>
      <c r="H86" s="21">
        <v>2007</v>
      </c>
      <c r="I86" s="21">
        <v>1</v>
      </c>
      <c r="J86" s="21"/>
      <c r="K86" s="24" t="s">
        <v>37</v>
      </c>
      <c r="L86" s="21" t="s">
        <v>291</v>
      </c>
      <c r="M86" s="42" t="s">
        <v>418</v>
      </c>
      <c r="N86" s="28"/>
      <c r="O86" s="28"/>
    </row>
    <row r="87" spans="1:15" ht="81" customHeight="1">
      <c r="A87" s="21">
        <v>81</v>
      </c>
      <c r="B87" s="22" t="s">
        <v>294</v>
      </c>
      <c r="C87" s="24" t="s">
        <v>295</v>
      </c>
      <c r="D87" s="23" t="s">
        <v>20</v>
      </c>
      <c r="E87" s="23" t="s">
        <v>21</v>
      </c>
      <c r="F87" s="52">
        <f t="shared" ca="1" si="1"/>
        <v>27.839123867069485</v>
      </c>
      <c r="G87" s="67" t="s">
        <v>296</v>
      </c>
      <c r="H87" s="21">
        <v>2021</v>
      </c>
      <c r="I87" s="21"/>
      <c r="J87" s="21"/>
      <c r="K87" s="56" t="s">
        <v>24</v>
      </c>
      <c r="L87" s="21" t="s">
        <v>297</v>
      </c>
      <c r="M87" s="25" t="s">
        <v>420</v>
      </c>
      <c r="N87" s="81" t="s">
        <v>298</v>
      </c>
      <c r="O87" s="28"/>
    </row>
    <row r="88" spans="1:15" ht="20.25" customHeight="1">
      <c r="A88" s="21">
        <v>82</v>
      </c>
      <c r="B88" s="32" t="s">
        <v>299</v>
      </c>
      <c r="C88" s="23">
        <v>32158</v>
      </c>
      <c r="D88" s="23" t="s">
        <v>20</v>
      </c>
      <c r="E88" s="23" t="s">
        <v>21</v>
      </c>
      <c r="F88" s="52">
        <f t="shared" ca="1" si="1"/>
        <v>38.726219726219725</v>
      </c>
      <c r="G88" s="96" t="s">
        <v>300</v>
      </c>
      <c r="H88" s="21">
        <v>2021</v>
      </c>
      <c r="I88" s="21">
        <v>1</v>
      </c>
      <c r="J88" s="21"/>
      <c r="K88" s="21" t="s">
        <v>24</v>
      </c>
      <c r="L88" s="21" t="s">
        <v>301</v>
      </c>
      <c r="M88" s="42" t="s">
        <v>421</v>
      </c>
      <c r="N88" s="69"/>
      <c r="O88" s="69"/>
    </row>
    <row r="89" spans="1:15" ht="20.25" customHeight="1">
      <c r="A89" s="21">
        <v>83</v>
      </c>
      <c r="B89" s="32" t="s">
        <v>304</v>
      </c>
      <c r="C89" s="23">
        <v>32439</v>
      </c>
      <c r="D89" s="23" t="s">
        <v>20</v>
      </c>
      <c r="E89" s="23" t="s">
        <v>21</v>
      </c>
      <c r="F89" s="52">
        <f t="shared" ca="1" si="1"/>
        <v>37.956897156897156</v>
      </c>
      <c r="G89" s="96" t="s">
        <v>305</v>
      </c>
      <c r="H89" s="21">
        <v>2011</v>
      </c>
      <c r="I89" s="21">
        <v>1</v>
      </c>
      <c r="J89" s="24" t="s">
        <v>23</v>
      </c>
      <c r="K89" s="24" t="s">
        <v>37</v>
      </c>
      <c r="L89" s="21" t="s">
        <v>306</v>
      </c>
      <c r="M89" s="42"/>
      <c r="N89" s="28"/>
      <c r="O89" s="28"/>
    </row>
    <row r="90" spans="1:15" ht="20.25" customHeight="1">
      <c r="A90" s="21">
        <v>84</v>
      </c>
      <c r="B90" s="32" t="s">
        <v>307</v>
      </c>
      <c r="C90" s="23">
        <v>30811</v>
      </c>
      <c r="D90" s="23" t="s">
        <v>20</v>
      </c>
      <c r="E90" s="23" t="s">
        <v>21</v>
      </c>
      <c r="F90" s="52">
        <f t="shared" ca="1" si="1"/>
        <v>42.414109257608558</v>
      </c>
      <c r="G90" s="96" t="s">
        <v>308</v>
      </c>
      <c r="H90" s="21">
        <v>2017</v>
      </c>
      <c r="I90" s="21"/>
      <c r="J90" s="21"/>
      <c r="K90" s="24" t="s">
        <v>37</v>
      </c>
      <c r="L90" s="21" t="s">
        <v>309</v>
      </c>
      <c r="M90" s="42" t="s">
        <v>310</v>
      </c>
      <c r="N90" s="28"/>
      <c r="O90" s="28"/>
    </row>
    <row r="91" spans="1:15" ht="20.25" customHeight="1">
      <c r="A91" s="21">
        <v>85</v>
      </c>
      <c r="B91" s="22" t="s">
        <v>311</v>
      </c>
      <c r="C91" s="24" t="s">
        <v>312</v>
      </c>
      <c r="D91" s="23" t="s">
        <v>246</v>
      </c>
      <c r="E91" s="23" t="s">
        <v>21</v>
      </c>
      <c r="F91" s="52">
        <f t="shared" ca="1" si="1"/>
        <v>55.288158795345652</v>
      </c>
      <c r="G91" s="67" t="s">
        <v>313</v>
      </c>
      <c r="H91" s="21">
        <v>1995</v>
      </c>
      <c r="I91" s="21">
        <v>1</v>
      </c>
      <c r="J91" s="21"/>
      <c r="K91" s="24" t="s">
        <v>37</v>
      </c>
      <c r="L91" s="21" t="s">
        <v>309</v>
      </c>
      <c r="M91" s="42" t="s">
        <v>310</v>
      </c>
      <c r="N91" s="28"/>
      <c r="O91" s="28"/>
    </row>
    <row r="92" spans="1:15" ht="39" customHeight="1">
      <c r="A92" s="21">
        <v>86</v>
      </c>
      <c r="B92" s="32" t="s">
        <v>314</v>
      </c>
      <c r="C92" s="23">
        <v>31193</v>
      </c>
      <c r="D92" s="23" t="s">
        <v>20</v>
      </c>
      <c r="E92" s="23" t="s">
        <v>21</v>
      </c>
      <c r="F92" s="52">
        <f t="shared" ca="1" si="1"/>
        <v>41.370273794002607</v>
      </c>
      <c r="G92" s="96" t="s">
        <v>315</v>
      </c>
      <c r="H92" s="21">
        <v>2011</v>
      </c>
      <c r="I92" s="21">
        <v>1</v>
      </c>
      <c r="J92" s="21"/>
      <c r="K92" s="24" t="s">
        <v>37</v>
      </c>
      <c r="L92" s="21" t="s">
        <v>316</v>
      </c>
      <c r="M92" s="25" t="s">
        <v>422</v>
      </c>
      <c r="N92" s="81" t="s">
        <v>317</v>
      </c>
      <c r="O92" s="28"/>
    </row>
    <row r="93" spans="1:15" ht="23.25" customHeight="1">
      <c r="A93" s="21">
        <v>87</v>
      </c>
      <c r="B93" s="32" t="s">
        <v>318</v>
      </c>
      <c r="C93" s="23">
        <v>28919</v>
      </c>
      <c r="D93" s="23" t="s">
        <v>20</v>
      </c>
      <c r="E93" s="23" t="s">
        <v>21</v>
      </c>
      <c r="F93" s="52">
        <f t="shared" ca="1" si="1"/>
        <v>47.59479808350445</v>
      </c>
      <c r="G93" s="96" t="s">
        <v>319</v>
      </c>
      <c r="H93" s="21">
        <v>2008</v>
      </c>
      <c r="I93" s="21">
        <v>1</v>
      </c>
      <c r="J93" s="21"/>
      <c r="K93" s="24" t="s">
        <v>320</v>
      </c>
      <c r="L93" s="21" t="s">
        <v>321</v>
      </c>
      <c r="M93" s="42" t="s">
        <v>423</v>
      </c>
      <c r="N93" s="28"/>
      <c r="O93" s="28"/>
    </row>
    <row r="94" spans="1:15" ht="39" customHeight="1">
      <c r="A94" s="21">
        <v>88</v>
      </c>
      <c r="B94" s="22" t="s">
        <v>323</v>
      </c>
      <c r="C94" s="24" t="s">
        <v>324</v>
      </c>
      <c r="D94" s="23" t="s">
        <v>20</v>
      </c>
      <c r="E94" s="23" t="s">
        <v>21</v>
      </c>
      <c r="F94" s="52">
        <f t="shared" ca="1" si="1"/>
        <v>44.863758109636329</v>
      </c>
      <c r="G94" s="67" t="s">
        <v>325</v>
      </c>
      <c r="H94" s="21">
        <v>2008</v>
      </c>
      <c r="I94" s="21"/>
      <c r="J94" s="21"/>
      <c r="K94" s="24" t="s">
        <v>37</v>
      </c>
      <c r="L94" s="21" t="s">
        <v>321</v>
      </c>
      <c r="M94" s="42" t="s">
        <v>424</v>
      </c>
      <c r="N94" s="81" t="s">
        <v>326</v>
      </c>
      <c r="O94" s="28"/>
    </row>
    <row r="95" spans="1:15" ht="24" customHeight="1">
      <c r="A95" s="21">
        <v>89</v>
      </c>
      <c r="B95" s="32" t="s">
        <v>327</v>
      </c>
      <c r="C95" s="23">
        <v>29811</v>
      </c>
      <c r="D95" s="23" t="s">
        <v>20</v>
      </c>
      <c r="E95" s="23" t="s">
        <v>21</v>
      </c>
      <c r="F95" s="52">
        <f t="shared" ca="1" si="1"/>
        <v>45.153978929825605</v>
      </c>
      <c r="G95" s="96" t="s">
        <v>328</v>
      </c>
      <c r="H95" s="21">
        <v>2009</v>
      </c>
      <c r="I95" s="21"/>
      <c r="J95" s="21"/>
      <c r="K95" s="24" t="s">
        <v>37</v>
      </c>
      <c r="L95" s="21" t="s">
        <v>329</v>
      </c>
      <c r="M95" s="42"/>
      <c r="N95" s="28" t="s">
        <v>330</v>
      </c>
      <c r="O95" s="28"/>
    </row>
    <row r="104" spans="1:15" ht="20.25" hidden="1" customHeight="1">
      <c r="A104" s="21">
        <v>82</v>
      </c>
      <c r="B104" s="25" t="s">
        <v>364</v>
      </c>
      <c r="C104" s="27">
        <v>38084</v>
      </c>
      <c r="D104" s="23" t="s">
        <v>246</v>
      </c>
      <c r="E104" s="23"/>
      <c r="F104" s="52">
        <f ca="1">YEARFRAC(C104,TODAY(),1)</f>
        <v>22.501725985001787</v>
      </c>
      <c r="G104" s="101" t="s">
        <v>365</v>
      </c>
      <c r="H104" s="21"/>
      <c r="I104" s="21"/>
      <c r="J104" s="21"/>
      <c r="K104" s="21" t="s">
        <v>37</v>
      </c>
      <c r="L104" s="21" t="s">
        <v>273</v>
      </c>
      <c r="M104" s="42"/>
      <c r="N104" s="93" t="s">
        <v>366</v>
      </c>
      <c r="O104" s="28"/>
    </row>
  </sheetData>
  <autoFilter ref="A6:X95"/>
  <mergeCells count="5">
    <mergeCell ref="A1:H1"/>
    <mergeCell ref="L1:M1"/>
    <mergeCell ref="A2:H2"/>
    <mergeCell ref="A3:O3"/>
    <mergeCell ref="A4:O4"/>
  </mergeCells>
  <pageMargins left="0.06" right="0.18" top="0.26" bottom="0.2" header="0.21" footer="0.2"/>
  <pageSetup scale="65" fitToWidth="0"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topLeftCell="A7" workbookViewId="0">
      <selection activeCell="A7" sqref="A7:A18"/>
    </sheetView>
  </sheetViews>
  <sheetFormatPr defaultColWidth="9.33203125" defaultRowHeight="20.25" customHeight="1"/>
  <cols>
    <col min="1" max="1" width="7" style="15" customWidth="1"/>
    <col min="2" max="2" width="27.1640625" style="14" customWidth="1"/>
    <col min="3" max="3" width="15.33203125" style="14" customWidth="1"/>
    <col min="4" max="5" width="10.33203125" style="14" customWidth="1"/>
    <col min="6" max="6" width="10.83203125" style="14" customWidth="1"/>
    <col min="7" max="7" width="15.33203125" style="15" customWidth="1"/>
    <col min="8" max="8" width="10.1640625" style="15" customWidth="1"/>
    <col min="9" max="9" width="7.83203125" style="15" customWidth="1"/>
    <col min="10" max="10" width="10.1640625" style="15" customWidth="1"/>
    <col min="11" max="11" width="11.5" style="15" customWidth="1"/>
    <col min="12" max="12" width="22.33203125" style="15" customWidth="1"/>
    <col min="13" max="13" width="39.33203125" style="14" customWidth="1"/>
    <col min="14" max="14" width="20.33203125" style="14" customWidth="1"/>
    <col min="15" max="15" width="8.5" style="14" customWidth="1"/>
    <col min="16" max="16" width="26.83203125" style="14" customWidth="1"/>
    <col min="17" max="17" width="11.33203125" style="14" customWidth="1"/>
    <col min="18" max="16384" width="9.33203125" style="14"/>
  </cols>
  <sheetData>
    <row r="1" spans="1:15" ht="23.25" customHeight="1">
      <c r="A1" s="185" t="s">
        <v>0</v>
      </c>
      <c r="B1" s="185"/>
      <c r="C1" s="185"/>
      <c r="D1" s="185"/>
      <c r="E1" s="185"/>
      <c r="F1" s="185"/>
      <c r="G1" s="185"/>
      <c r="H1" s="185"/>
      <c r="I1" s="102"/>
      <c r="J1" s="102"/>
      <c r="K1" s="48"/>
      <c r="L1" s="186"/>
      <c r="M1" s="186"/>
      <c r="N1" s="103"/>
    </row>
    <row r="2" spans="1:15" ht="27.75" customHeight="1">
      <c r="A2" s="187" t="s">
        <v>1</v>
      </c>
      <c r="B2" s="187"/>
      <c r="C2" s="187"/>
      <c r="D2" s="187"/>
      <c r="E2" s="187"/>
      <c r="F2" s="187"/>
      <c r="G2" s="187"/>
      <c r="H2" s="187"/>
      <c r="I2" s="104"/>
      <c r="J2" s="104"/>
      <c r="K2" s="48"/>
      <c r="L2" s="103"/>
      <c r="M2" s="103"/>
      <c r="N2" s="103"/>
    </row>
    <row r="3" spans="1:15" ht="52.5" customHeight="1">
      <c r="A3" s="188" t="s">
        <v>396</v>
      </c>
      <c r="B3" s="188"/>
      <c r="C3" s="188"/>
      <c r="D3" s="188"/>
      <c r="E3" s="188"/>
      <c r="F3" s="188"/>
      <c r="G3" s="188"/>
      <c r="H3" s="188"/>
      <c r="I3" s="188"/>
      <c r="J3" s="188"/>
      <c r="K3" s="188"/>
      <c r="L3" s="188"/>
      <c r="M3" s="188"/>
      <c r="N3" s="188"/>
      <c r="O3" s="188"/>
    </row>
    <row r="4" spans="1:15" ht="24.75" customHeight="1">
      <c r="A4" s="189" t="s">
        <v>3</v>
      </c>
      <c r="B4" s="189"/>
      <c r="C4" s="189"/>
      <c r="D4" s="189"/>
      <c r="E4" s="189"/>
      <c r="F4" s="189"/>
      <c r="G4" s="189"/>
      <c r="H4" s="189"/>
      <c r="I4" s="189"/>
      <c r="J4" s="189"/>
      <c r="K4" s="189"/>
      <c r="L4" s="189"/>
      <c r="M4" s="189"/>
      <c r="N4" s="189"/>
      <c r="O4" s="189"/>
    </row>
    <row r="5" spans="1:15" ht="11.25" customHeight="1">
      <c r="A5" s="19"/>
      <c r="B5" s="19"/>
      <c r="C5" s="19"/>
      <c r="D5" s="19"/>
      <c r="E5" s="19"/>
      <c r="F5" s="19"/>
      <c r="G5" s="19"/>
      <c r="H5" s="19"/>
      <c r="I5" s="19"/>
      <c r="J5" s="19"/>
      <c r="K5" s="19"/>
      <c r="L5" s="19"/>
      <c r="M5" s="19"/>
      <c r="N5" s="19"/>
      <c r="O5" s="19"/>
    </row>
    <row r="6" spans="1:15" s="13" customFormat="1" ht="64.5" customHeight="1">
      <c r="A6" s="51" t="s">
        <v>4</v>
      </c>
      <c r="B6" s="51" t="s">
        <v>5</v>
      </c>
      <c r="C6" s="20" t="s">
        <v>6</v>
      </c>
      <c r="D6" s="20" t="s">
        <v>7</v>
      </c>
      <c r="E6" s="20" t="s">
        <v>8</v>
      </c>
      <c r="F6" s="20" t="s">
        <v>9</v>
      </c>
      <c r="G6" s="20" t="s">
        <v>10</v>
      </c>
      <c r="H6" s="20" t="s">
        <v>11</v>
      </c>
      <c r="I6" s="20" t="s">
        <v>12</v>
      </c>
      <c r="J6" s="20" t="s">
        <v>13</v>
      </c>
      <c r="K6" s="20" t="s">
        <v>14</v>
      </c>
      <c r="L6" s="20" t="s">
        <v>15</v>
      </c>
      <c r="M6" s="20" t="s">
        <v>16</v>
      </c>
      <c r="N6" s="20" t="s">
        <v>17</v>
      </c>
      <c r="O6" s="51" t="s">
        <v>18</v>
      </c>
    </row>
    <row r="7" spans="1:15" s="45" customFormat="1" ht="57" customHeight="1">
      <c r="A7" s="21">
        <v>1</v>
      </c>
      <c r="B7" s="22" t="s">
        <v>265</v>
      </c>
      <c r="C7" s="27">
        <v>31536</v>
      </c>
      <c r="D7" s="23" t="s">
        <v>20</v>
      </c>
      <c r="E7" s="23" t="s">
        <v>266</v>
      </c>
      <c r="F7" s="52">
        <f t="shared" ref="F7:F18" ca="1" si="0">YEARFRAC(C7,TODAY(),1)</f>
        <v>40.430517529215358</v>
      </c>
      <c r="G7" s="101" t="s">
        <v>267</v>
      </c>
      <c r="H7" s="21"/>
      <c r="I7" s="21"/>
      <c r="J7" s="21"/>
      <c r="K7" s="24" t="s">
        <v>37</v>
      </c>
      <c r="L7" s="21" t="s">
        <v>258</v>
      </c>
      <c r="M7" s="25" t="s">
        <v>408</v>
      </c>
      <c r="N7" s="93" t="s">
        <v>405</v>
      </c>
      <c r="O7" s="28"/>
    </row>
    <row r="8" spans="1:15" s="45" customFormat="1" ht="49.5" customHeight="1">
      <c r="A8" s="21">
        <v>2</v>
      </c>
      <c r="B8" s="22" t="s">
        <v>268</v>
      </c>
      <c r="C8" s="27">
        <v>37707</v>
      </c>
      <c r="D8" s="23" t="s">
        <v>20</v>
      </c>
      <c r="E8" s="23" t="s">
        <v>266</v>
      </c>
      <c r="F8" s="52">
        <f t="shared" ca="1" si="0"/>
        <v>23.534565366187543</v>
      </c>
      <c r="G8" s="101" t="s">
        <v>269</v>
      </c>
      <c r="H8" s="21"/>
      <c r="I8" s="21"/>
      <c r="J8" s="21"/>
      <c r="K8" s="24" t="s">
        <v>37</v>
      </c>
      <c r="L8" s="21" t="s">
        <v>258</v>
      </c>
      <c r="M8" s="81" t="s">
        <v>407</v>
      </c>
      <c r="N8" s="112" t="s">
        <v>270</v>
      </c>
      <c r="O8" s="28"/>
    </row>
    <row r="9" spans="1:15" s="45" customFormat="1" ht="49.5" customHeight="1">
      <c r="A9" s="21">
        <v>3</v>
      </c>
      <c r="B9" s="22" t="s">
        <v>443</v>
      </c>
      <c r="C9" s="27">
        <v>36999</v>
      </c>
      <c r="D9" s="23" t="s">
        <v>20</v>
      </c>
      <c r="E9" s="23" t="s">
        <v>266</v>
      </c>
      <c r="F9" s="52">
        <f t="shared" ca="1" si="0"/>
        <v>25.474304970513902</v>
      </c>
      <c r="G9" s="101" t="s">
        <v>444</v>
      </c>
      <c r="H9" s="21"/>
      <c r="I9" s="21"/>
      <c r="J9" s="21"/>
      <c r="K9" s="24" t="s">
        <v>37</v>
      </c>
      <c r="L9" s="21" t="s">
        <v>258</v>
      </c>
      <c r="M9" s="25" t="s">
        <v>445</v>
      </c>
      <c r="N9" s="93" t="s">
        <v>405</v>
      </c>
      <c r="O9" s="28"/>
    </row>
    <row r="10" spans="1:15" s="45" customFormat="1" ht="56.25" customHeight="1">
      <c r="A10" s="21">
        <v>4</v>
      </c>
      <c r="B10" s="25" t="s">
        <v>277</v>
      </c>
      <c r="C10" s="27">
        <v>37378</v>
      </c>
      <c r="D10" s="23" t="s">
        <v>20</v>
      </c>
      <c r="E10" s="23" t="s">
        <v>266</v>
      </c>
      <c r="F10" s="52">
        <f t="shared" ca="1" si="0"/>
        <v>24.435987296024532</v>
      </c>
      <c r="G10" s="101" t="s">
        <v>278</v>
      </c>
      <c r="H10" s="21"/>
      <c r="I10" s="21"/>
      <c r="J10" s="21"/>
      <c r="K10" s="24" t="s">
        <v>37</v>
      </c>
      <c r="L10" s="21" t="s">
        <v>273</v>
      </c>
      <c r="M10" s="81" t="s">
        <v>402</v>
      </c>
      <c r="N10" s="112" t="s">
        <v>270</v>
      </c>
      <c r="O10" s="28"/>
    </row>
    <row r="11" spans="1:15" s="45" customFormat="1" ht="58.5" customHeight="1">
      <c r="A11" s="21">
        <v>5</v>
      </c>
      <c r="B11" s="25" t="s">
        <v>279</v>
      </c>
      <c r="C11" s="27">
        <v>37629</v>
      </c>
      <c r="D11" s="23" t="s">
        <v>246</v>
      </c>
      <c r="E11" s="23" t="s">
        <v>266</v>
      </c>
      <c r="F11" s="52">
        <f t="shared" ca="1" si="0"/>
        <v>23.748117727583846</v>
      </c>
      <c r="G11" s="101" t="s">
        <v>280</v>
      </c>
      <c r="H11" s="21"/>
      <c r="I11" s="21"/>
      <c r="J11" s="21"/>
      <c r="K11" s="24" t="s">
        <v>37</v>
      </c>
      <c r="L11" s="21" t="s">
        <v>273</v>
      </c>
      <c r="M11" s="105" t="s">
        <v>403</v>
      </c>
      <c r="N11" s="112" t="s">
        <v>270</v>
      </c>
      <c r="O11" s="28"/>
    </row>
    <row r="12" spans="1:15" s="45" customFormat="1" ht="45.75" customHeight="1">
      <c r="A12" s="21">
        <v>6</v>
      </c>
      <c r="B12" s="25" t="s">
        <v>281</v>
      </c>
      <c r="C12" s="27">
        <v>35021</v>
      </c>
      <c r="D12" s="23" t="s">
        <v>246</v>
      </c>
      <c r="E12" s="23" t="s">
        <v>266</v>
      </c>
      <c r="F12" s="52">
        <f t="shared" ca="1" si="0"/>
        <v>30.888432580424368</v>
      </c>
      <c r="G12" s="101" t="s">
        <v>282</v>
      </c>
      <c r="H12" s="21"/>
      <c r="I12" s="21"/>
      <c r="J12" s="21"/>
      <c r="K12" s="24" t="s">
        <v>283</v>
      </c>
      <c r="L12" s="21" t="s">
        <v>273</v>
      </c>
      <c r="M12" s="42" t="s">
        <v>404</v>
      </c>
      <c r="N12" s="93" t="s">
        <v>405</v>
      </c>
      <c r="O12" s="28"/>
    </row>
    <row r="13" spans="1:15" s="45" customFormat="1" ht="45.75" customHeight="1">
      <c r="A13" s="21">
        <v>7</v>
      </c>
      <c r="B13" s="25" t="s">
        <v>284</v>
      </c>
      <c r="C13" s="27">
        <v>38012</v>
      </c>
      <c r="D13" s="23" t="s">
        <v>246</v>
      </c>
      <c r="E13" s="23" t="s">
        <v>266</v>
      </c>
      <c r="F13" s="52">
        <f t="shared" ca="1" si="0"/>
        <v>22.69884537555053</v>
      </c>
      <c r="G13" s="101" t="s">
        <v>285</v>
      </c>
      <c r="H13" s="21"/>
      <c r="I13" s="21"/>
      <c r="J13" s="21"/>
      <c r="K13" s="24" t="s">
        <v>37</v>
      </c>
      <c r="L13" s="21" t="s">
        <v>273</v>
      </c>
      <c r="M13" s="42" t="s">
        <v>406</v>
      </c>
      <c r="N13" s="93" t="s">
        <v>405</v>
      </c>
      <c r="O13" s="28"/>
    </row>
    <row r="14" spans="1:15" s="45" customFormat="1" ht="45.75" customHeight="1">
      <c r="A14" s="21">
        <v>8</v>
      </c>
      <c r="B14" s="25" t="s">
        <v>286</v>
      </c>
      <c r="C14" s="27">
        <v>37989</v>
      </c>
      <c r="D14" s="23" t="s">
        <v>20</v>
      </c>
      <c r="E14" s="23" t="s">
        <v>266</v>
      </c>
      <c r="F14" s="52">
        <f t="shared" ca="1" si="0"/>
        <v>22.761814069753601</v>
      </c>
      <c r="G14" s="101" t="s">
        <v>287</v>
      </c>
      <c r="H14" s="21"/>
      <c r="I14" s="21"/>
      <c r="J14" s="21"/>
      <c r="K14" s="24" t="s">
        <v>37</v>
      </c>
      <c r="L14" s="21" t="s">
        <v>273</v>
      </c>
      <c r="M14" s="42" t="s">
        <v>401</v>
      </c>
      <c r="N14" s="93" t="s">
        <v>405</v>
      </c>
      <c r="O14" s="28"/>
    </row>
    <row r="15" spans="1:15" s="45" customFormat="1" ht="78" customHeight="1">
      <c r="A15" s="21">
        <v>9</v>
      </c>
      <c r="B15" s="32" t="s">
        <v>302</v>
      </c>
      <c r="C15" s="23">
        <v>36795</v>
      </c>
      <c r="D15" s="23" t="s">
        <v>20</v>
      </c>
      <c r="E15" s="23" t="s">
        <v>266</v>
      </c>
      <c r="F15" s="52">
        <f t="shared" ca="1" si="0"/>
        <v>26.030825390387346</v>
      </c>
      <c r="G15" s="96" t="s">
        <v>303</v>
      </c>
      <c r="H15" s="21"/>
      <c r="I15" s="21"/>
      <c r="J15" s="21"/>
      <c r="K15" s="24" t="s">
        <v>37</v>
      </c>
      <c r="L15" s="21" t="s">
        <v>301</v>
      </c>
      <c r="M15" s="105" t="s">
        <v>400</v>
      </c>
      <c r="N15" s="112" t="s">
        <v>270</v>
      </c>
      <c r="O15" s="69"/>
    </row>
    <row r="16" spans="1:15" ht="55.5" customHeight="1">
      <c r="A16" s="21">
        <v>10</v>
      </c>
      <c r="B16" s="32" t="s">
        <v>331</v>
      </c>
      <c r="C16" s="23">
        <v>33079</v>
      </c>
      <c r="D16" s="23" t="s">
        <v>20</v>
      </c>
      <c r="E16" s="23" t="s">
        <v>266</v>
      </c>
      <c r="F16" s="52">
        <f t="shared" ca="1" si="0"/>
        <v>36.206008583690988</v>
      </c>
      <c r="G16" s="96" t="s">
        <v>332</v>
      </c>
      <c r="H16" s="21">
        <v>2024</v>
      </c>
      <c r="I16" s="21"/>
      <c r="J16" s="21"/>
      <c r="K16" s="24" t="s">
        <v>37</v>
      </c>
      <c r="L16" s="21" t="s">
        <v>333</v>
      </c>
      <c r="M16" s="25" t="s">
        <v>398</v>
      </c>
      <c r="N16" s="28"/>
      <c r="O16" s="28"/>
    </row>
    <row r="17" spans="1:15" ht="48" customHeight="1">
      <c r="A17" s="21">
        <v>11</v>
      </c>
      <c r="B17" s="32" t="s">
        <v>334</v>
      </c>
      <c r="C17" s="23">
        <v>32052</v>
      </c>
      <c r="D17" s="23" t="s">
        <v>20</v>
      </c>
      <c r="E17" s="23" t="s">
        <v>266</v>
      </c>
      <c r="F17" s="52">
        <f t="shared" ca="1" si="0"/>
        <v>39.017111567419576</v>
      </c>
      <c r="G17" s="96" t="s">
        <v>335</v>
      </c>
      <c r="H17" s="21">
        <v>2025</v>
      </c>
      <c r="I17" s="21"/>
      <c r="J17" s="21"/>
      <c r="K17" s="21" t="s">
        <v>24</v>
      </c>
      <c r="L17" s="21" t="s">
        <v>333</v>
      </c>
      <c r="M17" s="25" t="s">
        <v>399</v>
      </c>
      <c r="N17" s="28"/>
      <c r="O17" s="28"/>
    </row>
    <row r="18" spans="1:15" ht="38.25" customHeight="1">
      <c r="A18" s="21">
        <v>12</v>
      </c>
      <c r="B18" s="22" t="s">
        <v>336</v>
      </c>
      <c r="C18" s="24" t="s">
        <v>337</v>
      </c>
      <c r="D18" s="23" t="s">
        <v>20</v>
      </c>
      <c r="E18" s="23" t="s">
        <v>266</v>
      </c>
      <c r="F18" s="52">
        <f t="shared" ca="1" si="0"/>
        <v>49.891185312432896</v>
      </c>
      <c r="G18" s="67" t="s">
        <v>338</v>
      </c>
      <c r="H18" s="21">
        <v>1999</v>
      </c>
      <c r="I18" s="21"/>
      <c r="J18" s="21"/>
      <c r="K18" s="24" t="s">
        <v>320</v>
      </c>
      <c r="L18" s="21" t="s">
        <v>333</v>
      </c>
      <c r="M18" s="42"/>
      <c r="N18" s="28"/>
      <c r="O18" s="28"/>
    </row>
    <row r="25" spans="1:15" ht="20.25" hidden="1" customHeight="1">
      <c r="A25" s="21">
        <v>82</v>
      </c>
      <c r="B25" s="25" t="s">
        <v>364</v>
      </c>
      <c r="C25" s="27">
        <v>38084</v>
      </c>
      <c r="D25" s="23" t="s">
        <v>246</v>
      </c>
      <c r="E25" s="23"/>
      <c r="F25" s="52">
        <f ca="1">YEARFRAC(C25,TODAY(),1)</f>
        <v>22.501725985001787</v>
      </c>
      <c r="G25" s="101" t="s">
        <v>365</v>
      </c>
      <c r="H25" s="21"/>
      <c r="I25" s="21"/>
      <c r="J25" s="21"/>
      <c r="K25" s="21" t="s">
        <v>37</v>
      </c>
      <c r="L25" s="21" t="s">
        <v>273</v>
      </c>
      <c r="M25" s="42"/>
      <c r="N25" s="93" t="s">
        <v>366</v>
      </c>
      <c r="O25" s="28"/>
    </row>
  </sheetData>
  <autoFilter ref="A6:X18"/>
  <mergeCells count="5">
    <mergeCell ref="A1:H1"/>
    <mergeCell ref="L1:M1"/>
    <mergeCell ref="A2:H2"/>
    <mergeCell ref="A3:O3"/>
    <mergeCell ref="A4:O4"/>
  </mergeCells>
  <pageMargins left="0.06" right="0.18" top="0.26" bottom="0.2" header="0.21" footer="0.2"/>
  <pageSetup scale="65" fitToWidth="0"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topLeftCell="A10" workbookViewId="0">
      <selection activeCell="M7" sqref="M7"/>
    </sheetView>
  </sheetViews>
  <sheetFormatPr defaultColWidth="9.33203125" defaultRowHeight="20.25" customHeight="1"/>
  <cols>
    <col min="1" max="1" width="7" style="15" customWidth="1"/>
    <col min="2" max="2" width="27.1640625" style="14" customWidth="1"/>
    <col min="3" max="3" width="15.33203125" style="14" customWidth="1"/>
    <col min="4" max="5" width="10.33203125" style="14" customWidth="1"/>
    <col min="6" max="6" width="10.83203125" style="14" customWidth="1"/>
    <col min="7" max="7" width="15.33203125" style="15" customWidth="1"/>
    <col min="8" max="10" width="10.1640625" style="15" customWidth="1"/>
    <col min="11" max="11" width="11.5" style="15" customWidth="1"/>
    <col min="12" max="12" width="22.33203125" style="15" customWidth="1"/>
    <col min="13" max="13" width="43" style="14" customWidth="1"/>
    <col min="14" max="14" width="19.6640625" style="14" customWidth="1"/>
    <col min="15" max="15" width="8.5" style="14" customWidth="1"/>
    <col min="16" max="16" width="26.83203125" style="14" customWidth="1"/>
    <col min="17" max="17" width="11.33203125" style="14" customWidth="1"/>
    <col min="18" max="16384" width="9.33203125" style="14"/>
  </cols>
  <sheetData>
    <row r="1" spans="1:15" ht="23.25" customHeight="1">
      <c r="A1" s="185" t="s">
        <v>0</v>
      </c>
      <c r="B1" s="185"/>
      <c r="C1" s="185"/>
      <c r="D1" s="185"/>
      <c r="E1" s="185"/>
      <c r="F1" s="185"/>
      <c r="G1" s="185"/>
      <c r="H1" s="185"/>
      <c r="I1" s="102"/>
      <c r="J1" s="102"/>
      <c r="K1" s="48"/>
      <c r="L1" s="186"/>
      <c r="M1" s="186"/>
      <c r="N1" s="103"/>
    </row>
    <row r="2" spans="1:15" ht="27.75" customHeight="1">
      <c r="A2" s="187" t="s">
        <v>1</v>
      </c>
      <c r="B2" s="187"/>
      <c r="C2" s="187"/>
      <c r="D2" s="187"/>
      <c r="E2" s="187"/>
      <c r="F2" s="187"/>
      <c r="G2" s="187"/>
      <c r="H2" s="187"/>
      <c r="I2" s="104"/>
      <c r="J2" s="104"/>
      <c r="K2" s="48"/>
      <c r="L2" s="103"/>
      <c r="M2" s="103"/>
      <c r="N2" s="103"/>
    </row>
    <row r="3" spans="1:15" ht="57" customHeight="1">
      <c r="A3" s="188" t="s">
        <v>395</v>
      </c>
      <c r="B3" s="188"/>
      <c r="C3" s="188"/>
      <c r="D3" s="188"/>
      <c r="E3" s="188"/>
      <c r="F3" s="188"/>
      <c r="G3" s="188"/>
      <c r="H3" s="188"/>
      <c r="I3" s="188"/>
      <c r="J3" s="188"/>
      <c r="K3" s="188"/>
      <c r="L3" s="188"/>
      <c r="M3" s="188"/>
      <c r="N3" s="188"/>
      <c r="O3" s="188"/>
    </row>
    <row r="4" spans="1:15" ht="24.75" customHeight="1">
      <c r="A4" s="189" t="s">
        <v>3</v>
      </c>
      <c r="B4" s="189"/>
      <c r="C4" s="189"/>
      <c r="D4" s="189"/>
      <c r="E4" s="189"/>
      <c r="F4" s="189"/>
      <c r="G4" s="189"/>
      <c r="H4" s="189"/>
      <c r="I4" s="189"/>
      <c r="J4" s="189"/>
      <c r="K4" s="189"/>
      <c r="L4" s="189"/>
      <c r="M4" s="189"/>
      <c r="N4" s="189"/>
      <c r="O4" s="189"/>
    </row>
    <row r="5" spans="1:15" ht="11.25" customHeight="1">
      <c r="A5" s="19"/>
      <c r="B5" s="19"/>
      <c r="C5" s="19"/>
      <c r="D5" s="19"/>
      <c r="E5" s="19"/>
      <c r="F5" s="19"/>
      <c r="G5" s="19"/>
      <c r="H5" s="19"/>
      <c r="I5" s="19"/>
      <c r="J5" s="19"/>
      <c r="K5" s="19"/>
      <c r="L5" s="19"/>
      <c r="M5" s="19"/>
      <c r="N5" s="19"/>
      <c r="O5" s="19"/>
    </row>
    <row r="6" spans="1:15" s="13" customFormat="1" ht="64.5" customHeight="1">
      <c r="A6" s="51" t="s">
        <v>4</v>
      </c>
      <c r="B6" s="51" t="s">
        <v>5</v>
      </c>
      <c r="C6" s="20" t="s">
        <v>6</v>
      </c>
      <c r="D6" s="20" t="s">
        <v>7</v>
      </c>
      <c r="E6" s="20" t="s">
        <v>8</v>
      </c>
      <c r="F6" s="20" t="s">
        <v>9</v>
      </c>
      <c r="G6" s="20" t="s">
        <v>10</v>
      </c>
      <c r="H6" s="20" t="s">
        <v>11</v>
      </c>
      <c r="I6" s="20" t="s">
        <v>12</v>
      </c>
      <c r="J6" s="20" t="s">
        <v>13</v>
      </c>
      <c r="K6" s="20" t="s">
        <v>14</v>
      </c>
      <c r="L6" s="20" t="s">
        <v>15</v>
      </c>
      <c r="M6" s="20" t="s">
        <v>16</v>
      </c>
      <c r="N6" s="20" t="s">
        <v>17</v>
      </c>
      <c r="O6" s="51" t="s">
        <v>18</v>
      </c>
    </row>
    <row r="7" spans="1:15" s="46" customFormat="1" ht="38.25" customHeight="1">
      <c r="A7" s="21">
        <v>1</v>
      </c>
      <c r="B7" s="58" t="s">
        <v>339</v>
      </c>
      <c r="C7" s="85">
        <v>23882</v>
      </c>
      <c r="D7" s="23" t="s">
        <v>246</v>
      </c>
      <c r="E7" s="23" t="s">
        <v>266</v>
      </c>
      <c r="F7" s="52">
        <f t="shared" ref="F7:F16" ca="1" si="0">YEARFRAC(C7,TODAY(),1)</f>
        <v>61.386707882534772</v>
      </c>
      <c r="G7" s="101" t="s">
        <v>340</v>
      </c>
      <c r="H7" s="53"/>
      <c r="I7" s="53"/>
      <c r="J7" s="53"/>
      <c r="K7" s="53"/>
      <c r="L7" s="86" t="s">
        <v>341</v>
      </c>
      <c r="M7" s="32"/>
      <c r="N7" s="87"/>
      <c r="O7" s="87"/>
    </row>
    <row r="8" spans="1:15" ht="39.75" customHeight="1">
      <c r="A8" s="21">
        <v>2</v>
      </c>
      <c r="B8" s="25" t="s">
        <v>342</v>
      </c>
      <c r="C8" s="27">
        <v>22283</v>
      </c>
      <c r="D8" s="23" t="s">
        <v>246</v>
      </c>
      <c r="E8" s="23" t="s">
        <v>266</v>
      </c>
      <c r="F8" s="52">
        <f t="shared" ca="1" si="0"/>
        <v>65.764539948560525</v>
      </c>
      <c r="G8" s="101" t="s">
        <v>343</v>
      </c>
      <c r="H8" s="21"/>
      <c r="I8" s="21"/>
      <c r="J8" s="21"/>
      <c r="K8" s="21"/>
      <c r="L8" s="24" t="s">
        <v>341</v>
      </c>
      <c r="M8" s="42"/>
      <c r="N8" s="28"/>
      <c r="O8" s="28"/>
    </row>
    <row r="9" spans="1:15" ht="41.25" customHeight="1">
      <c r="A9" s="21">
        <v>3</v>
      </c>
      <c r="B9" s="25" t="s">
        <v>344</v>
      </c>
      <c r="C9" s="27">
        <v>24749</v>
      </c>
      <c r="D9" s="23" t="s">
        <v>20</v>
      </c>
      <c r="E9" s="23" t="s">
        <v>266</v>
      </c>
      <c r="F9" s="52">
        <f t="shared" ca="1" si="0"/>
        <v>59.011635865845314</v>
      </c>
      <c r="G9" s="101" t="s">
        <v>345</v>
      </c>
      <c r="H9" s="21"/>
      <c r="I9" s="21"/>
      <c r="J9" s="21"/>
      <c r="K9" s="21"/>
      <c r="L9" s="24" t="s">
        <v>346</v>
      </c>
      <c r="M9" s="42"/>
      <c r="N9" s="28"/>
      <c r="O9" s="28"/>
    </row>
    <row r="10" spans="1:15" ht="40.5" customHeight="1">
      <c r="A10" s="21">
        <v>4</v>
      </c>
      <c r="B10" s="25" t="s">
        <v>347</v>
      </c>
      <c r="C10" s="27">
        <v>25868</v>
      </c>
      <c r="D10" s="23" t="s">
        <v>20</v>
      </c>
      <c r="E10" s="23" t="s">
        <v>266</v>
      </c>
      <c r="F10" s="52">
        <f t="shared" ca="1" si="0"/>
        <v>55.948652673039049</v>
      </c>
      <c r="G10" s="101" t="s">
        <v>348</v>
      </c>
      <c r="H10" s="21"/>
      <c r="I10" s="21"/>
      <c r="J10" s="21"/>
      <c r="K10" s="21"/>
      <c r="L10" s="24" t="s">
        <v>346</v>
      </c>
      <c r="M10" s="42"/>
      <c r="N10" s="28"/>
      <c r="O10" s="28"/>
    </row>
    <row r="11" spans="1:15" ht="24" customHeight="1">
      <c r="A11" s="21">
        <v>5</v>
      </c>
      <c r="B11" s="28" t="s">
        <v>349</v>
      </c>
      <c r="C11" s="88">
        <v>26230</v>
      </c>
      <c r="D11" s="23" t="s">
        <v>246</v>
      </c>
      <c r="E11" s="23" t="s">
        <v>266</v>
      </c>
      <c r="F11" s="52">
        <f t="shared" ca="1" si="0"/>
        <v>54.956878850102669</v>
      </c>
      <c r="G11" s="96" t="s">
        <v>350</v>
      </c>
      <c r="H11" s="21"/>
      <c r="I11" s="21"/>
      <c r="J11" s="21"/>
      <c r="K11" s="21"/>
      <c r="L11" s="21" t="s">
        <v>351</v>
      </c>
      <c r="M11" s="42"/>
      <c r="N11" s="28"/>
      <c r="O11" s="28"/>
    </row>
    <row r="12" spans="1:15" ht="24" customHeight="1">
      <c r="A12" s="21">
        <v>6</v>
      </c>
      <c r="B12" s="28" t="s">
        <v>352</v>
      </c>
      <c r="C12" s="88">
        <v>24513</v>
      </c>
      <c r="D12" s="23" t="s">
        <v>246</v>
      </c>
      <c r="E12" s="23" t="s">
        <v>266</v>
      </c>
      <c r="F12" s="52">
        <f t="shared" ca="1" si="0"/>
        <v>59.657768651608485</v>
      </c>
      <c r="G12" s="96" t="s">
        <v>353</v>
      </c>
      <c r="H12" s="21"/>
      <c r="I12" s="21"/>
      <c r="J12" s="21"/>
      <c r="K12" s="21"/>
      <c r="L12" s="21" t="s">
        <v>351</v>
      </c>
      <c r="M12" s="42"/>
      <c r="N12" s="28"/>
      <c r="O12" s="28"/>
    </row>
    <row r="13" spans="1:15" s="45" customFormat="1" ht="24" customHeight="1">
      <c r="A13" s="21">
        <v>7</v>
      </c>
      <c r="B13" s="89" t="s">
        <v>354</v>
      </c>
      <c r="C13" s="73">
        <v>24190</v>
      </c>
      <c r="D13" s="73" t="s">
        <v>246</v>
      </c>
      <c r="E13" s="73" t="s">
        <v>266</v>
      </c>
      <c r="F13" s="74">
        <f t="shared" ca="1" si="0"/>
        <v>60.542773788150811</v>
      </c>
      <c r="G13" s="100" t="s">
        <v>355</v>
      </c>
      <c r="H13" s="76"/>
      <c r="I13" s="76"/>
      <c r="J13" s="76"/>
      <c r="K13" s="76"/>
      <c r="L13" s="76" t="s">
        <v>351</v>
      </c>
      <c r="M13" s="77"/>
      <c r="N13" s="79"/>
      <c r="O13" s="79"/>
    </row>
    <row r="14" spans="1:15" s="45" customFormat="1" ht="24" customHeight="1">
      <c r="A14" s="21">
        <v>8</v>
      </c>
      <c r="B14" s="90" t="s">
        <v>356</v>
      </c>
      <c r="C14" s="91">
        <v>25878</v>
      </c>
      <c r="D14" s="73" t="s">
        <v>20</v>
      </c>
      <c r="E14" s="73" t="s">
        <v>266</v>
      </c>
      <c r="F14" s="74">
        <f t="shared" ca="1" si="0"/>
        <v>55.921273836399443</v>
      </c>
      <c r="G14" s="100" t="s">
        <v>357</v>
      </c>
      <c r="H14" s="76"/>
      <c r="I14" s="76"/>
      <c r="J14" s="76"/>
      <c r="K14" s="76"/>
      <c r="L14" s="76" t="s">
        <v>358</v>
      </c>
      <c r="M14" s="77"/>
      <c r="N14" s="79"/>
      <c r="O14" s="79"/>
    </row>
    <row r="15" spans="1:15" ht="24" customHeight="1">
      <c r="A15" s="21">
        <v>9</v>
      </c>
      <c r="B15" s="87" t="s">
        <v>359</v>
      </c>
      <c r="C15" s="88">
        <v>23016</v>
      </c>
      <c r="D15" s="23" t="s">
        <v>20</v>
      </c>
      <c r="E15" s="23" t="s">
        <v>266</v>
      </c>
      <c r="F15" s="52">
        <f t="shared" ca="1" si="0"/>
        <v>63.756331279945243</v>
      </c>
      <c r="G15" s="96" t="s">
        <v>360</v>
      </c>
      <c r="H15" s="21"/>
      <c r="I15" s="21"/>
      <c r="J15" s="21"/>
      <c r="K15" s="21"/>
      <c r="L15" s="21" t="s">
        <v>358</v>
      </c>
      <c r="M15" s="42"/>
      <c r="N15" s="28"/>
      <c r="O15" s="28"/>
    </row>
    <row r="16" spans="1:15" ht="24" customHeight="1">
      <c r="A16" s="21">
        <v>10</v>
      </c>
      <c r="B16" s="87" t="s">
        <v>361</v>
      </c>
      <c r="C16" s="88">
        <v>24735</v>
      </c>
      <c r="D16" s="23" t="s">
        <v>20</v>
      </c>
      <c r="E16" s="23" t="s">
        <v>266</v>
      </c>
      <c r="F16" s="52">
        <f t="shared" ca="1" si="0"/>
        <v>59.049965776865157</v>
      </c>
      <c r="G16" s="96" t="s">
        <v>362</v>
      </c>
      <c r="H16" s="21"/>
      <c r="I16" s="21"/>
      <c r="J16" s="21"/>
      <c r="K16" s="21"/>
      <c r="L16" s="21" t="s">
        <v>358</v>
      </c>
      <c r="M16" s="42"/>
      <c r="N16" s="28"/>
      <c r="O16" s="28"/>
    </row>
    <row r="17" spans="1:15" ht="13.5" customHeight="1">
      <c r="A17" s="21"/>
      <c r="B17" s="28"/>
      <c r="C17" s="28"/>
      <c r="D17" s="28"/>
      <c r="E17" s="28"/>
      <c r="F17" s="52"/>
      <c r="G17" s="33"/>
      <c r="H17" s="33"/>
      <c r="I17" s="26"/>
      <c r="J17" s="26"/>
      <c r="K17" s="33"/>
      <c r="L17" s="33"/>
      <c r="M17" s="28"/>
      <c r="N17" s="28"/>
      <c r="O17" s="28"/>
    </row>
    <row r="18" spans="1:15" ht="20.25" customHeight="1">
      <c r="F18" s="92"/>
    </row>
    <row r="19" spans="1:15" ht="20.25" customHeight="1">
      <c r="I19" s="13"/>
      <c r="J19" s="13"/>
    </row>
    <row r="28" spans="1:15" ht="20.25" hidden="1" customHeight="1">
      <c r="A28" s="21">
        <v>82</v>
      </c>
      <c r="B28" s="25" t="s">
        <v>364</v>
      </c>
      <c r="C28" s="27">
        <v>38084</v>
      </c>
      <c r="D28" s="23" t="s">
        <v>246</v>
      </c>
      <c r="E28" s="23"/>
      <c r="F28" s="52">
        <f ca="1">YEARFRAC(C28,TODAY(),1)</f>
        <v>22.501725985001787</v>
      </c>
      <c r="G28" s="101" t="s">
        <v>365</v>
      </c>
      <c r="H28" s="21"/>
      <c r="I28" s="21"/>
      <c r="J28" s="21"/>
      <c r="K28" s="21" t="s">
        <v>37</v>
      </c>
      <c r="L28" s="21" t="s">
        <v>273</v>
      </c>
      <c r="M28" s="42"/>
      <c r="N28" s="93" t="s">
        <v>366</v>
      </c>
      <c r="O28" s="28"/>
    </row>
  </sheetData>
  <autoFilter ref="A6:X19"/>
  <mergeCells count="5">
    <mergeCell ref="A1:H1"/>
    <mergeCell ref="L1:M1"/>
    <mergeCell ref="A2:H2"/>
    <mergeCell ref="A3:O3"/>
    <mergeCell ref="A4:O4"/>
  </mergeCells>
  <pageMargins left="0.06" right="0.18" top="0.26" bottom="0.2" header="0.21" footer="0.2"/>
  <pageSetup scale="65" fitToWidth="0" orientation="landscape"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
  <sheetViews>
    <sheetView topLeftCell="A15" workbookViewId="0">
      <selection activeCell="B20" sqref="B20"/>
    </sheetView>
  </sheetViews>
  <sheetFormatPr defaultColWidth="9.33203125" defaultRowHeight="20.25" customHeight="1"/>
  <cols>
    <col min="1" max="1" width="7" style="3" customWidth="1"/>
    <col min="2" max="2" width="27.1640625" style="2" customWidth="1"/>
    <col min="3" max="3" width="15.33203125" style="2" customWidth="1"/>
    <col min="4" max="4" width="10.1640625" style="15" customWidth="1"/>
    <col min="5" max="5" width="11.5" style="3" customWidth="1"/>
    <col min="6" max="6" width="22.33203125" style="3" customWidth="1"/>
    <col min="7" max="7" width="42" style="2" customWidth="1"/>
    <col min="8" max="8" width="27.1640625" style="2" customWidth="1"/>
    <col min="9" max="9" width="12.1640625" style="2" customWidth="1"/>
    <col min="10" max="10" width="26.83203125" style="2" customWidth="1"/>
    <col min="11" max="11" width="11.33203125" style="2" customWidth="1"/>
    <col min="12" max="16384" width="9.33203125" style="2"/>
  </cols>
  <sheetData>
    <row r="1" spans="1:18" ht="23.25" customHeight="1">
      <c r="A1" s="191" t="s">
        <v>0</v>
      </c>
      <c r="B1" s="191"/>
      <c r="C1" s="191"/>
      <c r="D1" s="191"/>
      <c r="E1" s="16"/>
      <c r="F1" s="192"/>
      <c r="G1" s="192"/>
      <c r="H1" s="17"/>
    </row>
    <row r="2" spans="1:18" ht="27.75" customHeight="1">
      <c r="A2" s="193" t="s">
        <v>1</v>
      </c>
      <c r="B2" s="193"/>
      <c r="C2" s="193"/>
      <c r="D2" s="193"/>
      <c r="E2" s="16"/>
      <c r="F2" s="17"/>
      <c r="G2" s="17"/>
      <c r="H2" s="17"/>
    </row>
    <row r="3" spans="1:18" ht="44.25" customHeight="1">
      <c r="A3" s="194" t="s">
        <v>367</v>
      </c>
      <c r="B3" s="194"/>
      <c r="C3" s="194"/>
      <c r="D3" s="194"/>
      <c r="E3" s="194"/>
      <c r="F3" s="194"/>
      <c r="G3" s="194"/>
      <c r="H3" s="194"/>
      <c r="I3" s="194"/>
    </row>
    <row r="4" spans="1:18" ht="11.25" customHeight="1">
      <c r="A4" s="18"/>
      <c r="B4" s="18"/>
      <c r="C4" s="18"/>
      <c r="D4" s="19"/>
      <c r="E4" s="18"/>
      <c r="F4" s="18"/>
      <c r="G4" s="18"/>
      <c r="H4" s="18"/>
      <c r="I4" s="18"/>
    </row>
    <row r="5" spans="1:18" s="12" customFormat="1" ht="64.5" customHeight="1">
      <c r="A5" s="4" t="s">
        <v>4</v>
      </c>
      <c r="B5" s="4" t="s">
        <v>5</v>
      </c>
      <c r="C5" s="5" t="s">
        <v>6</v>
      </c>
      <c r="D5" s="20" t="s">
        <v>11</v>
      </c>
      <c r="E5" s="5" t="s">
        <v>14</v>
      </c>
      <c r="F5" s="5" t="s">
        <v>15</v>
      </c>
      <c r="G5" s="5" t="s">
        <v>16</v>
      </c>
      <c r="H5" s="5" t="s">
        <v>17</v>
      </c>
      <c r="I5" s="9" t="s">
        <v>18</v>
      </c>
    </row>
    <row r="6" spans="1:18" s="13" customFormat="1" ht="39.6" customHeight="1">
      <c r="A6" s="21">
        <v>1</v>
      </c>
      <c r="B6" s="22" t="s">
        <v>19</v>
      </c>
      <c r="C6" s="23">
        <v>30212</v>
      </c>
      <c r="D6" s="24">
        <v>2007</v>
      </c>
      <c r="E6" s="24" t="s">
        <v>24</v>
      </c>
      <c r="F6" s="24" t="s">
        <v>25</v>
      </c>
      <c r="G6" s="25" t="s">
        <v>440</v>
      </c>
      <c r="H6" s="25"/>
      <c r="I6" s="26"/>
    </row>
    <row r="7" spans="1:18" s="14" customFormat="1" ht="59.25" customHeight="1">
      <c r="A7" s="21">
        <v>2</v>
      </c>
      <c r="B7" s="22" t="s">
        <v>27</v>
      </c>
      <c r="C7" s="27">
        <v>28144</v>
      </c>
      <c r="D7" s="24">
        <v>2000</v>
      </c>
      <c r="E7" s="24" t="s">
        <v>24</v>
      </c>
      <c r="F7" s="24" t="s">
        <v>29</v>
      </c>
      <c r="G7" s="25" t="s">
        <v>466</v>
      </c>
      <c r="H7" s="25"/>
      <c r="I7" s="28"/>
    </row>
    <row r="8" spans="1:18" s="14" customFormat="1" ht="59.25" customHeight="1">
      <c r="A8" s="21">
        <v>3</v>
      </c>
      <c r="B8" s="29" t="s">
        <v>31</v>
      </c>
      <c r="C8" s="23">
        <v>34132</v>
      </c>
      <c r="D8" s="24">
        <v>2013</v>
      </c>
      <c r="E8" s="24" t="s">
        <v>24</v>
      </c>
      <c r="F8" s="24" t="s">
        <v>368</v>
      </c>
      <c r="G8" s="25" t="s">
        <v>466</v>
      </c>
      <c r="H8" s="25"/>
      <c r="I8" s="28"/>
    </row>
    <row r="9" spans="1:18" s="14" customFormat="1" ht="29.25" customHeight="1">
      <c r="A9" s="21">
        <v>4</v>
      </c>
      <c r="B9" s="30" t="s">
        <v>307</v>
      </c>
      <c r="C9" s="23">
        <v>30811</v>
      </c>
      <c r="D9" s="24">
        <v>2017</v>
      </c>
      <c r="E9" s="24" t="s">
        <v>369</v>
      </c>
      <c r="F9" s="24" t="s">
        <v>310</v>
      </c>
      <c r="G9" s="31"/>
      <c r="H9" s="31"/>
      <c r="I9" s="28"/>
    </row>
    <row r="10" spans="1:18" s="14" customFormat="1" ht="20.25" customHeight="1">
      <c r="A10" s="21">
        <v>5</v>
      </c>
      <c r="B10" s="32" t="s">
        <v>226</v>
      </c>
      <c r="C10" s="23">
        <v>27554</v>
      </c>
      <c r="D10" s="33">
        <v>2003</v>
      </c>
      <c r="E10" s="34" t="s">
        <v>37</v>
      </c>
      <c r="F10" s="24" t="s">
        <v>43</v>
      </c>
      <c r="G10" s="35" t="s">
        <v>228</v>
      </c>
      <c r="H10" s="35" t="s">
        <v>229</v>
      </c>
      <c r="I10" s="28"/>
    </row>
    <row r="11" spans="1:18" s="14" customFormat="1" ht="37.5" customHeight="1">
      <c r="A11" s="21">
        <v>6</v>
      </c>
      <c r="B11" s="32" t="s">
        <v>35</v>
      </c>
      <c r="C11" s="23">
        <v>25697</v>
      </c>
      <c r="D11" s="24">
        <v>1991</v>
      </c>
      <c r="E11" s="34" t="s">
        <v>37</v>
      </c>
      <c r="F11" s="24" t="s">
        <v>43</v>
      </c>
      <c r="G11" s="25" t="s">
        <v>39</v>
      </c>
      <c r="H11" s="25" t="s">
        <v>40</v>
      </c>
      <c r="I11" s="28"/>
    </row>
    <row r="12" spans="1:18" s="14" customFormat="1" ht="24.75" customHeight="1">
      <c r="A12" s="21">
        <v>7</v>
      </c>
      <c r="B12" s="25" t="s">
        <v>69</v>
      </c>
      <c r="C12" s="24" t="str">
        <f>VLOOKUP(B12,[1]Sheet1!$C$7:$D$41,2,0)</f>
        <v>25/10/1974</v>
      </c>
      <c r="D12" s="34">
        <v>1996</v>
      </c>
      <c r="E12" s="34" t="s">
        <v>37</v>
      </c>
      <c r="F12" s="24" t="s">
        <v>43</v>
      </c>
      <c r="G12" s="25" t="s">
        <v>70</v>
      </c>
      <c r="H12" s="25" t="s">
        <v>71</v>
      </c>
      <c r="I12" s="24"/>
      <c r="J12" s="36"/>
      <c r="K12" s="37"/>
      <c r="L12" s="37"/>
      <c r="M12" s="38"/>
      <c r="N12" s="39"/>
      <c r="O12" s="39"/>
      <c r="P12" s="40"/>
      <c r="Q12" s="40"/>
      <c r="R12" s="40"/>
    </row>
    <row r="13" spans="1:18" s="14" customFormat="1" ht="24.75" customHeight="1">
      <c r="A13" s="21">
        <v>8</v>
      </c>
      <c r="B13" s="32" t="s">
        <v>78</v>
      </c>
      <c r="C13" s="23">
        <v>32214</v>
      </c>
      <c r="D13" s="34">
        <v>2011</v>
      </c>
      <c r="E13" s="41" t="s">
        <v>24</v>
      </c>
      <c r="F13" s="24" t="s">
        <v>43</v>
      </c>
      <c r="G13" s="25" t="s">
        <v>80</v>
      </c>
      <c r="H13" s="25" t="s">
        <v>81</v>
      </c>
      <c r="I13" s="24"/>
    </row>
    <row r="14" spans="1:18" s="14" customFormat="1" ht="24.75" customHeight="1">
      <c r="A14" s="21">
        <v>9</v>
      </c>
      <c r="B14" s="25" t="s">
        <v>100</v>
      </c>
      <c r="C14" s="24" t="str">
        <f>VLOOKUP(B14,[1]Sheet1!$C$7:$D$41,2,0)</f>
        <v>12/08/1992</v>
      </c>
      <c r="D14" s="41">
        <v>2025</v>
      </c>
      <c r="E14" s="34" t="s">
        <v>37</v>
      </c>
      <c r="F14" s="24" t="s">
        <v>43</v>
      </c>
      <c r="G14" s="25" t="s">
        <v>101</v>
      </c>
      <c r="H14" s="25" t="s">
        <v>102</v>
      </c>
      <c r="I14" s="24"/>
    </row>
    <row r="15" spans="1:18" s="14" customFormat="1" ht="56.25" customHeight="1">
      <c r="A15" s="21">
        <v>10</v>
      </c>
      <c r="B15" s="32" t="s">
        <v>129</v>
      </c>
      <c r="C15" s="23">
        <v>30965</v>
      </c>
      <c r="D15" s="24">
        <v>2007</v>
      </c>
      <c r="E15" s="24" t="s">
        <v>37</v>
      </c>
      <c r="F15" s="24" t="s">
        <v>43</v>
      </c>
      <c r="G15" s="25" t="s">
        <v>132</v>
      </c>
      <c r="H15" s="25" t="s">
        <v>133</v>
      </c>
      <c r="I15" s="24"/>
    </row>
    <row r="16" spans="1:18" s="14" customFormat="1" ht="64.5" customHeight="1">
      <c r="A16" s="21">
        <v>11</v>
      </c>
      <c r="B16" s="22" t="s">
        <v>145</v>
      </c>
      <c r="C16" s="24" t="str">
        <f>VLOOKUP(B16,[1]Sheet1!$C$7:$D$41,2,0)</f>
        <v>02/01/1975</v>
      </c>
      <c r="D16" s="24">
        <v>1996</v>
      </c>
      <c r="E16" s="34" t="s">
        <v>37</v>
      </c>
      <c r="F16" s="24" t="s">
        <v>370</v>
      </c>
      <c r="G16" s="25" t="s">
        <v>147</v>
      </c>
      <c r="H16" s="25" t="s">
        <v>148</v>
      </c>
      <c r="I16" s="24"/>
    </row>
    <row r="17" spans="1:9" s="14" customFormat="1" ht="33.6" customHeight="1">
      <c r="A17" s="21">
        <v>12</v>
      </c>
      <c r="B17" s="32" t="s">
        <v>172</v>
      </c>
      <c r="C17" s="23">
        <v>26437</v>
      </c>
      <c r="D17" s="34">
        <v>1994</v>
      </c>
      <c r="E17" s="34" t="s">
        <v>37</v>
      </c>
      <c r="F17" s="24" t="s">
        <v>43</v>
      </c>
      <c r="G17" s="25" t="s">
        <v>175</v>
      </c>
      <c r="H17" s="25" t="s">
        <v>176</v>
      </c>
      <c r="I17" s="28"/>
    </row>
    <row r="18" spans="1:9" s="14" customFormat="1" ht="33.6" customHeight="1">
      <c r="A18" s="21">
        <v>13</v>
      </c>
      <c r="B18" s="22" t="s">
        <v>185</v>
      </c>
      <c r="C18" s="24" t="s">
        <v>186</v>
      </c>
      <c r="D18" s="24">
        <v>1995</v>
      </c>
      <c r="E18" s="34" t="s">
        <v>37</v>
      </c>
      <c r="F18" s="24" t="s">
        <v>43</v>
      </c>
      <c r="G18" s="25" t="s">
        <v>188</v>
      </c>
      <c r="H18" s="25" t="s">
        <v>189</v>
      </c>
      <c r="I18" s="28"/>
    </row>
    <row r="19" spans="1:9" s="14" customFormat="1" ht="32.25" customHeight="1">
      <c r="A19" s="21">
        <v>14</v>
      </c>
      <c r="B19" s="32" t="s">
        <v>194</v>
      </c>
      <c r="C19" s="23">
        <v>32785</v>
      </c>
      <c r="D19" s="34">
        <v>2012</v>
      </c>
      <c r="E19" s="34" t="s">
        <v>37</v>
      </c>
      <c r="F19" s="24" t="s">
        <v>43</v>
      </c>
      <c r="G19" s="25" t="s">
        <v>197</v>
      </c>
      <c r="H19" s="25" t="s">
        <v>198</v>
      </c>
      <c r="I19" s="28"/>
    </row>
    <row r="20" spans="1:9" s="14" customFormat="1" ht="30.75" customHeight="1">
      <c r="A20" s="21">
        <v>15</v>
      </c>
      <c r="B20" s="22" t="s">
        <v>219</v>
      </c>
      <c r="C20" s="24" t="str">
        <f>VLOOKUP(B20,[1]Sheet1!$C$7:$D$41,2,0)</f>
        <v>11/06/1993</v>
      </c>
      <c r="D20" s="24">
        <v>2014</v>
      </c>
      <c r="E20" s="34" t="s">
        <v>37</v>
      </c>
      <c r="F20" s="24" t="s">
        <v>43</v>
      </c>
      <c r="G20" s="25" t="s">
        <v>220</v>
      </c>
      <c r="H20" s="25" t="s">
        <v>221</v>
      </c>
      <c r="I20" s="28"/>
    </row>
    <row r="21" spans="1:9" s="14" customFormat="1" ht="30.75" customHeight="1">
      <c r="A21" s="21">
        <v>16</v>
      </c>
      <c r="B21" s="32" t="s">
        <v>245</v>
      </c>
      <c r="C21" s="23">
        <v>23991</v>
      </c>
      <c r="D21" s="24">
        <v>1990</v>
      </c>
      <c r="E21" s="34" t="s">
        <v>37</v>
      </c>
      <c r="F21" s="24" t="s">
        <v>248</v>
      </c>
      <c r="G21" s="25"/>
      <c r="H21" s="42" t="s">
        <v>249</v>
      </c>
      <c r="I21" s="28"/>
    </row>
    <row r="22" spans="1:9" s="14" customFormat="1" ht="20.25" customHeight="1">
      <c r="A22" s="21">
        <v>17</v>
      </c>
      <c r="B22" s="22" t="s">
        <v>252</v>
      </c>
      <c r="C22" s="24" t="s">
        <v>253</v>
      </c>
      <c r="D22" s="33">
        <v>2007</v>
      </c>
      <c r="E22" s="34" t="s">
        <v>37</v>
      </c>
      <c r="F22" s="33" t="s">
        <v>371</v>
      </c>
      <c r="G22" s="28" t="s">
        <v>371</v>
      </c>
      <c r="H22" s="43" t="s">
        <v>255</v>
      </c>
      <c r="I22" s="28"/>
    </row>
    <row r="23" spans="1:9" s="14" customFormat="1" ht="20.25" customHeight="1">
      <c r="A23" s="21">
        <v>18</v>
      </c>
      <c r="B23" s="32" t="s">
        <v>274</v>
      </c>
      <c r="C23" s="23">
        <v>32448</v>
      </c>
      <c r="D23" s="33">
        <v>2011</v>
      </c>
      <c r="E23" s="33" t="s">
        <v>24</v>
      </c>
      <c r="F23" s="33" t="s">
        <v>273</v>
      </c>
      <c r="G23" s="28"/>
      <c r="H23" s="43" t="s">
        <v>276</v>
      </c>
      <c r="I23" s="28"/>
    </row>
    <row r="24" spans="1:9" s="14" customFormat="1" ht="20.25" customHeight="1">
      <c r="A24" s="21">
        <v>19</v>
      </c>
      <c r="B24" s="32" t="s">
        <v>304</v>
      </c>
      <c r="C24" s="23">
        <v>32439</v>
      </c>
      <c r="D24" s="33">
        <v>2011</v>
      </c>
      <c r="E24" s="33" t="s">
        <v>37</v>
      </c>
      <c r="F24" s="33" t="s">
        <v>306</v>
      </c>
      <c r="G24" s="28"/>
      <c r="H24" s="43"/>
      <c r="I24" s="28"/>
    </row>
    <row r="25" spans="1:9" s="14" customFormat="1" ht="20.25" customHeight="1">
      <c r="A25" s="21">
        <v>20</v>
      </c>
      <c r="B25" s="32" t="s">
        <v>314</v>
      </c>
      <c r="C25" s="23">
        <v>31193</v>
      </c>
      <c r="D25" s="33">
        <v>2011</v>
      </c>
      <c r="E25" s="34" t="s">
        <v>37</v>
      </c>
      <c r="F25" s="33" t="s">
        <v>316</v>
      </c>
      <c r="G25" s="28" t="s">
        <v>316</v>
      </c>
      <c r="H25" s="43" t="s">
        <v>317</v>
      </c>
      <c r="I25" s="28"/>
    </row>
    <row r="26" spans="1:9" s="14" customFormat="1" ht="20.25" customHeight="1">
      <c r="A26" s="21">
        <v>21</v>
      </c>
      <c r="B26" s="22" t="s">
        <v>323</v>
      </c>
      <c r="C26" s="24" t="s">
        <v>324</v>
      </c>
      <c r="D26" s="33">
        <v>2008</v>
      </c>
      <c r="E26" s="34" t="s">
        <v>37</v>
      </c>
      <c r="F26" s="33" t="s">
        <v>321</v>
      </c>
      <c r="G26" s="28" t="s">
        <v>322</v>
      </c>
      <c r="H26" s="43" t="s">
        <v>326</v>
      </c>
      <c r="I26" s="28"/>
    </row>
  </sheetData>
  <mergeCells count="4">
    <mergeCell ref="A1:D1"/>
    <mergeCell ref="F1:G1"/>
    <mergeCell ref="A2:D2"/>
    <mergeCell ref="A3:I3"/>
  </mergeCells>
  <pageMargins left="0.06" right="0.18" top="0.26" bottom="0.2" header="0.21" footer="0.2"/>
  <pageSetup scale="85" fitToWidth="0" orientation="landscape"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topLeftCell="A4" workbookViewId="0">
      <selection activeCell="D9" sqref="D9"/>
    </sheetView>
  </sheetViews>
  <sheetFormatPr defaultColWidth="9.33203125" defaultRowHeight="15.75"/>
  <cols>
    <col min="1" max="1" width="34.33203125" style="2" customWidth="1"/>
    <col min="2" max="2" width="9.83203125" style="3" customWidth="1"/>
    <col min="3" max="3" width="9.5" style="3" customWidth="1"/>
    <col min="4" max="5" width="9" style="3" customWidth="1"/>
    <col min="6" max="8" width="6.5" style="3" customWidth="1"/>
    <col min="9" max="9" width="16" style="3" customWidth="1"/>
    <col min="10" max="10" width="19" style="3" customWidth="1"/>
    <col min="11" max="16384" width="9.33203125" style="2"/>
  </cols>
  <sheetData>
    <row r="1" spans="1:9" ht="39" customHeight="1">
      <c r="A1" s="195" t="s">
        <v>372</v>
      </c>
      <c r="B1" s="195"/>
      <c r="C1" s="195"/>
      <c r="D1" s="195"/>
      <c r="E1" s="195"/>
      <c r="F1" s="195"/>
      <c r="G1" s="195"/>
      <c r="H1" s="195"/>
      <c r="I1" s="195"/>
    </row>
    <row r="2" spans="1:9" s="1" customFormat="1" ht="32.25" customHeight="1">
      <c r="A2" s="199" t="s">
        <v>373</v>
      </c>
      <c r="B2" s="201" t="s">
        <v>374</v>
      </c>
      <c r="C2" s="201" t="s">
        <v>12</v>
      </c>
      <c r="D2" s="201" t="s">
        <v>375</v>
      </c>
      <c r="E2" s="196" t="s">
        <v>14</v>
      </c>
      <c r="F2" s="197"/>
      <c r="G2" s="197"/>
      <c r="H2" s="198"/>
      <c r="I2" s="4" t="s">
        <v>18</v>
      </c>
    </row>
    <row r="3" spans="1:9" s="1" customFormat="1" ht="32.25" customHeight="1">
      <c r="A3" s="200"/>
      <c r="B3" s="202"/>
      <c r="C3" s="202"/>
      <c r="D3" s="202"/>
      <c r="E3" s="5" t="s">
        <v>13</v>
      </c>
      <c r="F3" s="5" t="s">
        <v>376</v>
      </c>
      <c r="G3" s="5" t="s">
        <v>377</v>
      </c>
      <c r="H3" s="5" t="s">
        <v>378</v>
      </c>
      <c r="I3" s="4"/>
    </row>
    <row r="4" spans="1:9" ht="18" customHeight="1">
      <c r="A4" s="6" t="s">
        <v>379</v>
      </c>
      <c r="B4" s="7">
        <v>3</v>
      </c>
      <c r="C4" s="7">
        <v>3</v>
      </c>
      <c r="D4" s="7">
        <v>3</v>
      </c>
      <c r="E4" s="7">
        <v>3</v>
      </c>
      <c r="F4" s="7">
        <v>3</v>
      </c>
      <c r="G4" s="7"/>
      <c r="H4" s="7"/>
      <c r="I4" s="7"/>
    </row>
    <row r="5" spans="1:9" ht="18" customHeight="1">
      <c r="A5" s="6" t="s">
        <v>380</v>
      </c>
      <c r="B5" s="7">
        <v>65</v>
      </c>
      <c r="C5" s="7">
        <v>45</v>
      </c>
      <c r="D5" s="7">
        <v>65</v>
      </c>
      <c r="E5" s="7">
        <v>8</v>
      </c>
      <c r="F5" s="7">
        <v>8</v>
      </c>
      <c r="G5" s="7">
        <v>57</v>
      </c>
      <c r="H5" s="7"/>
      <c r="I5" s="7"/>
    </row>
    <row r="6" spans="1:9" ht="18" customHeight="1">
      <c r="A6" s="6" t="s">
        <v>381</v>
      </c>
      <c r="B6" s="7">
        <v>14</v>
      </c>
      <c r="C6" s="7">
        <v>7</v>
      </c>
      <c r="D6" s="7">
        <v>23</v>
      </c>
      <c r="E6" s="7"/>
      <c r="F6" s="7">
        <v>3</v>
      </c>
      <c r="G6" s="7">
        <v>20</v>
      </c>
      <c r="H6" s="7"/>
      <c r="I6" s="7" t="s">
        <v>452</v>
      </c>
    </row>
    <row r="7" spans="1:9" ht="18" customHeight="1">
      <c r="A7" s="6" t="s">
        <v>382</v>
      </c>
      <c r="B7" s="7">
        <v>6</v>
      </c>
      <c r="C7" s="7">
        <v>3</v>
      </c>
      <c r="D7" s="7">
        <v>9</v>
      </c>
      <c r="E7" s="7"/>
      <c r="F7" s="7">
        <v>1</v>
      </c>
      <c r="G7" s="7">
        <v>6</v>
      </c>
      <c r="H7" s="7">
        <v>2</v>
      </c>
      <c r="I7" s="7" t="s">
        <v>383</v>
      </c>
    </row>
    <row r="8" spans="1:9" ht="18" customHeight="1">
      <c r="A8" s="6" t="s">
        <v>384</v>
      </c>
      <c r="B8" s="7">
        <v>1</v>
      </c>
      <c r="C8" s="7">
        <v>1</v>
      </c>
      <c r="D8" s="7">
        <v>1</v>
      </c>
      <c r="E8" s="7"/>
      <c r="F8" s="7"/>
      <c r="G8" s="7"/>
      <c r="H8" s="7"/>
      <c r="I8" s="7"/>
    </row>
    <row r="9" spans="1:9" s="1" customFormat="1" ht="18" customHeight="1">
      <c r="A9" s="8" t="s">
        <v>385</v>
      </c>
      <c r="B9" s="9">
        <f>SUM(B4:B8)</f>
        <v>89</v>
      </c>
      <c r="C9" s="9">
        <f>SUM(C4:C8)</f>
        <v>59</v>
      </c>
      <c r="D9" s="9">
        <f>SUM(D4:D8)</f>
        <v>101</v>
      </c>
      <c r="E9" s="9">
        <f>SUM(E4:E8)</f>
        <v>11</v>
      </c>
      <c r="F9" s="9">
        <f>SUM(F4:F8)</f>
        <v>15</v>
      </c>
      <c r="G9" s="9">
        <f t="shared" ref="G9:H9" si="0">SUM(G4:G8)</f>
        <v>83</v>
      </c>
      <c r="H9" s="9">
        <f t="shared" si="0"/>
        <v>2</v>
      </c>
      <c r="I9" s="9"/>
    </row>
    <row r="10" spans="1:9" s="1" customFormat="1" ht="18" customHeight="1">
      <c r="A10" s="9" t="s">
        <v>386</v>
      </c>
      <c r="B10" s="10" t="s">
        <v>387</v>
      </c>
      <c r="C10" s="9"/>
      <c r="D10" s="9"/>
      <c r="E10" s="9"/>
      <c r="F10" s="9"/>
      <c r="G10" s="9"/>
      <c r="H10" s="9"/>
      <c r="I10" s="9"/>
    </row>
    <row r="11" spans="1:9" ht="18" customHeight="1">
      <c r="A11" s="8" t="s">
        <v>388</v>
      </c>
      <c r="B11" s="7">
        <v>3</v>
      </c>
      <c r="C11" s="9"/>
      <c r="D11" s="7"/>
      <c r="E11" s="7"/>
      <c r="F11" s="7"/>
      <c r="G11" s="7"/>
      <c r="H11" s="7"/>
      <c r="I11" s="7"/>
    </row>
    <row r="12" spans="1:9" ht="32.25" customHeight="1">
      <c r="A12" s="6" t="s">
        <v>389</v>
      </c>
      <c r="B12" s="7">
        <v>9</v>
      </c>
      <c r="C12" s="7"/>
      <c r="D12" s="7"/>
      <c r="E12" s="7"/>
      <c r="F12" s="7"/>
      <c r="G12" s="7"/>
      <c r="H12" s="7"/>
      <c r="I12" s="11" t="s">
        <v>451</v>
      </c>
    </row>
    <row r="13" spans="1:9" ht="18" customHeight="1">
      <c r="A13" s="6" t="s">
        <v>390</v>
      </c>
      <c r="B13" s="7">
        <v>5</v>
      </c>
      <c r="C13" s="7"/>
      <c r="D13" s="7">
        <v>5</v>
      </c>
      <c r="E13" s="7"/>
      <c r="F13" s="7"/>
      <c r="G13" s="7"/>
      <c r="H13" s="7"/>
      <c r="I13" s="7" t="s">
        <v>391</v>
      </c>
    </row>
    <row r="14" spans="1:9" ht="18" customHeight="1">
      <c r="A14" s="6" t="s">
        <v>392</v>
      </c>
      <c r="B14" s="7">
        <v>5</v>
      </c>
      <c r="C14" s="7"/>
      <c r="D14" s="7">
        <v>5</v>
      </c>
      <c r="E14" s="7"/>
      <c r="F14" s="7"/>
      <c r="G14" s="7"/>
      <c r="H14" s="7"/>
      <c r="I14" s="7" t="s">
        <v>391</v>
      </c>
    </row>
    <row r="15" spans="1:9" s="1" customFormat="1" ht="18" customHeight="1">
      <c r="A15" s="8" t="s">
        <v>393</v>
      </c>
      <c r="B15" s="9">
        <f>SUM(B11:B14)</f>
        <v>22</v>
      </c>
      <c r="C15" s="9"/>
      <c r="D15" s="9"/>
      <c r="E15" s="9"/>
      <c r="F15" s="9"/>
      <c r="G15" s="9"/>
      <c r="H15" s="9"/>
      <c r="I15" s="9"/>
    </row>
    <row r="16" spans="1:9" s="1" customFormat="1">
      <c r="A16" s="8" t="s">
        <v>394</v>
      </c>
      <c r="B16" s="9">
        <f>B9+B15</f>
        <v>111</v>
      </c>
      <c r="C16" s="9"/>
      <c r="D16" s="9">
        <f>SUM(D11:D15)</f>
        <v>10</v>
      </c>
      <c r="E16" s="9"/>
      <c r="F16" s="9"/>
      <c r="G16" s="9"/>
      <c r="H16" s="9"/>
      <c r="I16" s="9"/>
    </row>
  </sheetData>
  <mergeCells count="6">
    <mergeCell ref="A1:I1"/>
    <mergeCell ref="E2:H2"/>
    <mergeCell ref="A2:A3"/>
    <mergeCell ref="B2:B3"/>
    <mergeCell ref="C2:C3"/>
    <mergeCell ref="D2:D3"/>
  </mergeCells>
  <pageMargins left="0.37" right="0.2" top="0.4"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Toàn trường</vt:lpstr>
      <vt:lpstr>DS SỐ ĐIỆN THOẠI</vt:lpstr>
      <vt:lpstr>CBGVNV biên chế </vt:lpstr>
      <vt:lpstr>hợp đồng GV,NV</vt:lpstr>
      <vt:lpstr>hợp đồng LCBV</vt:lpstr>
      <vt:lpstr>DANH SÁCH BAN TRUNG TÂM</vt:lpstr>
      <vt:lpstr>TỔNG HỢP SỐ LƯỢNG</vt:lpstr>
      <vt:lpstr>'CBGVNV biên chế '!Print_Titles</vt:lpstr>
      <vt:lpstr>'DANH SÁCH BAN TRUNG TÂM'!Print_Titles</vt:lpstr>
      <vt:lpstr>'DS SỐ ĐIỆN THOẠI'!Print_Titles</vt:lpstr>
      <vt:lpstr>'hợp đồng GV,NV'!Print_Titles</vt:lpstr>
      <vt:lpstr>'hợp đồng LCBV'!Print_Titles</vt:lpstr>
      <vt:lpstr>'Toàn trường'!Print_Titles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Admin</cp:lastModifiedBy>
  <cp:lastPrinted>2026-09-29T11:56:31Z</cp:lastPrinted>
  <dcterms:created xsi:type="dcterms:W3CDTF">2021-10-15T04:12:00Z</dcterms:created>
  <dcterms:modified xsi:type="dcterms:W3CDTF">2026-10-08T11:19:04Z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1F3E5B16E9824093A257B256818018BC_12</vt:lpwstr>
  </property>
  <property fmtid="{D5CDD505-2E9C-101B-9397-08002B2CF9AE}" pid="3" name="KSOProductBuildVer">
    <vt:lpwstr>1033-12.1.0.28485</vt:lpwstr>
  </property>
  <property fmtid="{D5CDD505-2E9C-101B-9397-08002B2CF9AE}" pid="4" name="CalculationRule">
    <vt:i4>0</vt:i4>
  </property>
</Properties>
</file>